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📊 Dashboard" sheetId="1" state="visible" r:id="rId1"/>
    <sheet name="💰 Presupuesto" sheetId="2" state="visible" r:id="rId2"/>
    <sheet name="📦 Catálogo" sheetId="3" state="visible" r:id="rId3"/>
    <sheet name="👥 Invitados" sheetId="4" state="visible" r:id="rId4"/>
    <sheet name="✅ Checklist" sheetId="5" state="visible" r:id="rId5"/>
    <sheet name="🎨 Diseño" sheetId="6" state="visible" r:id="rId6"/>
    <sheet name="💡 Cotizador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\$#,##0"/>
    <numFmt numFmtId="166" formatCode="0.0%"/>
  </numFmts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AAAAAA"/>
      <sz val="10"/>
    </font>
    <font>
      <name val="Arial"/>
      <charset val="1"/>
      <family val="0"/>
      <b val="1"/>
      <color rgb="FF1A1A1A"/>
      <sz val="12"/>
    </font>
    <font>
      <name val="Arial"/>
      <charset val="1"/>
      <family val="0"/>
      <b val="1"/>
      <color rgb="FF1A1A1A"/>
      <sz val="11"/>
    </font>
    <font>
      <name val="Arial"/>
      <charset val="1"/>
      <family val="0"/>
      <b val="1"/>
      <color rgb="FF1565C0"/>
      <sz val="11"/>
    </font>
    <font>
      <name val="Arial"/>
      <charset val="1"/>
      <family val="0"/>
      <b val="1"/>
      <color rgb="FFC9A84C"/>
      <sz val="22"/>
    </font>
    <font>
      <name val="Arial"/>
      <charset val="1"/>
      <family val="0"/>
      <i val="1"/>
      <color rgb="FFAAAAAA"/>
      <sz val="11"/>
    </font>
    <font>
      <name val="Arial"/>
      <charset val="1"/>
      <family val="0"/>
      <b val="1"/>
      <color rgb="FFC9A84C"/>
      <sz val="9"/>
    </font>
    <font>
      <name val="Arial"/>
      <charset val="1"/>
      <family val="0"/>
      <b val="1"/>
      <color rgb="FF7A9E7E"/>
      <sz val="9"/>
    </font>
    <font>
      <name val="Arial"/>
      <charset val="1"/>
      <family val="0"/>
      <b val="1"/>
      <color rgb="FF1565C0"/>
      <sz val="9"/>
    </font>
    <font>
      <name val="Arial"/>
      <charset val="1"/>
      <family val="0"/>
      <b val="1"/>
      <color rgb="FF1A1A1A"/>
      <sz val="9"/>
    </font>
    <font>
      <name val="Arial"/>
      <charset val="1"/>
      <family val="0"/>
      <b val="1"/>
      <color rgb="FFFFFFFF"/>
      <sz val="20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1A1A1A"/>
      <sz val="11"/>
    </font>
    <font>
      <name val="Arial"/>
      <charset val="1"/>
      <family val="0"/>
      <color rgb="FF1A1A1A"/>
      <sz val="10"/>
    </font>
    <font>
      <name val="Arial"/>
      <charset val="1"/>
      <family val="0"/>
      <b val="1"/>
      <color rgb="FFC9A84C"/>
      <sz val="11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888888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CCCCCC"/>
      <sz val="10"/>
    </font>
    <font>
      <name val="Arial"/>
      <charset val="1"/>
      <family val="0"/>
      <b val="1"/>
      <color rgb="FF2E7D32"/>
      <sz val="11"/>
    </font>
    <font>
      <name val="Arial"/>
      <charset val="1"/>
      <family val="0"/>
      <b val="1"/>
      <color rgb="FF2E7D32"/>
      <sz val="14"/>
    </font>
    <font>
      <name val="Arial"/>
      <charset val="1"/>
      <family val="0"/>
      <color rgb="FF2E7D32"/>
      <sz val="10"/>
    </font>
    <font>
      <name val="Arial"/>
      <charset val="1"/>
      <family val="0"/>
      <b val="1"/>
      <color rgb="FF2E7D32"/>
      <sz val="10"/>
    </font>
    <font>
      <name val="Arial"/>
      <charset val="1"/>
      <family val="0"/>
      <color rgb="FF1565C0"/>
      <sz val="11"/>
    </font>
    <font>
      <name val="Arial"/>
      <charset val="1"/>
      <family val="0"/>
      <i val="1"/>
      <color rgb="FF666666"/>
      <sz val="10"/>
    </font>
    <font>
      <name val="Arial"/>
      <charset val="1"/>
      <family val="0"/>
      <i val="1"/>
      <color rgb="FF999999"/>
      <sz val="11"/>
    </font>
    <font>
      <name val="Arial"/>
      <b val="1"/>
      <color rgb="FFFFFFFF"/>
      <sz val="10"/>
    </font>
    <font>
      <name val="Calibri"/>
      <color theme="1"/>
      <sz val="11"/>
    </font>
    <font>
      <name val="Arial"/>
      <color rgb="FF1A1A1A"/>
      <sz val="10"/>
    </font>
    <font>
      <name val="Arial"/>
      <b val="1"/>
      <color rgb="FFFFFFFF"/>
      <sz val="11"/>
    </font>
  </fonts>
  <fills count="17">
    <fill>
      <patternFill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5E6C0"/>
        <bgColor rgb="FFFFF9C4"/>
      </patternFill>
    </fill>
    <fill>
      <patternFill patternType="solid">
        <fgColor rgb="FFF5F5F5"/>
        <bgColor rgb="FFFAF7F2"/>
      </patternFill>
    </fill>
    <fill>
      <patternFill patternType="solid">
        <fgColor rgb="FFE3F2FD"/>
        <bgColor rgb="FFEEEEEE"/>
      </patternFill>
    </fill>
    <fill>
      <patternFill patternType="solid">
        <fgColor rgb="FFD4E8D6"/>
        <bgColor rgb="FFC8E6C9"/>
      </patternFill>
    </fill>
    <fill>
      <patternFill patternType="solid">
        <fgColor rgb="FFC9A84C"/>
        <bgColor rgb="FFAAAAAA"/>
      </patternFill>
    </fill>
    <fill>
      <patternFill patternType="solid">
        <fgColor rgb="FF7A9E7E"/>
        <bgColor rgb="FF888888"/>
      </patternFill>
    </fill>
    <fill>
      <patternFill patternType="solid">
        <fgColor rgb="FF1565C0"/>
        <bgColor rgb="FF3366FF"/>
      </patternFill>
    </fill>
    <fill>
      <patternFill patternType="solid">
        <fgColor rgb="FFE53935"/>
        <bgColor rgb="FF993366"/>
      </patternFill>
    </fill>
    <fill>
      <patternFill patternType="solid">
        <fgColor rgb="FFFAF7F2"/>
        <bgColor rgb="FFF5F5F5"/>
      </patternFill>
    </fill>
    <fill>
      <patternFill patternType="solid">
        <fgColor rgb="FFFFFFFF"/>
        <bgColor rgb="FFFAF7F2"/>
      </patternFill>
    </fill>
    <fill>
      <patternFill patternType="solid">
        <fgColor rgb="FFFFCDD2"/>
        <bgColor rgb="FFF5E6C0"/>
      </patternFill>
    </fill>
    <fill>
      <patternFill patternType="solid">
        <fgColor rgb="FFFFF9C4"/>
        <bgColor rgb="FFFAF7F2"/>
      </patternFill>
    </fill>
    <fill>
      <patternFill patternType="solid">
        <fgColor rgb="FFC8E6C9"/>
        <bgColor rgb="FFD4E8D6"/>
      </patternFill>
    </fill>
    <fill>
      <patternFill patternType="solid">
        <fgColor rgb="FF2E7D32"/>
        <bgColor rgb="FF008000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7" fillId="6" borderId="2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164" fontId="8" fillId="5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165" fontId="8" fillId="5" borderId="1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165" fontId="15" fillId="7" borderId="2" applyAlignment="1" pivotButton="0" quotePrefix="0" xfId="0">
      <alignment horizontal="center" vertical="center"/>
    </xf>
    <xf numFmtId="1" fontId="15" fillId="8" borderId="2" applyAlignment="1" pivotButton="0" quotePrefix="0" xfId="0">
      <alignment horizontal="center" vertical="center"/>
    </xf>
    <xf numFmtId="1" fontId="15" fillId="9" borderId="2" applyAlignment="1" pivotButton="0" quotePrefix="0" xfId="0">
      <alignment horizontal="center" vertical="center"/>
    </xf>
    <xf numFmtId="1" fontId="15" fillId="2" borderId="2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7" fillId="11" borderId="1" applyAlignment="1" pivotButton="0" quotePrefix="0" xfId="0">
      <alignment horizontal="right" vertical="center"/>
    </xf>
    <xf numFmtId="165" fontId="7" fillId="11" borderId="1" applyAlignment="1" pivotButton="0" quotePrefix="0" xfId="0">
      <alignment horizontal="general" vertical="bottom"/>
    </xf>
    <xf numFmtId="0" fontId="18" fillId="11" borderId="1" applyAlignment="1" pivotButton="0" quotePrefix="0" xfId="0">
      <alignment horizontal="general" vertical="bottom"/>
    </xf>
    <xf numFmtId="0" fontId="1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general" vertical="bottom"/>
    </xf>
    <xf numFmtId="0" fontId="18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right" vertical="center"/>
    </xf>
    <xf numFmtId="166" fontId="19" fillId="3" borderId="1" applyAlignment="1" pivotButton="0" quotePrefix="0" xfId="0">
      <alignment horizontal="general" vertical="bottom"/>
    </xf>
    <xf numFmtId="0" fontId="20" fillId="7" borderId="0" applyAlignment="1" pivotButton="0" quotePrefix="0" xfId="0">
      <alignment horizontal="center" vertical="center"/>
    </xf>
    <xf numFmtId="0" fontId="21" fillId="11" borderId="0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0" fontId="22" fillId="8" borderId="0" applyAlignment="1" pivotButton="0" quotePrefix="0" xfId="0">
      <alignment horizontal="left" vertical="center"/>
    </xf>
    <xf numFmtId="0" fontId="18" fillId="12" borderId="4" applyAlignment="1" pivotButton="0" quotePrefix="0" xfId="0">
      <alignment horizontal="left" vertical="center"/>
    </xf>
    <xf numFmtId="165" fontId="18" fillId="12" borderId="4" applyAlignment="1" pivotButton="0" quotePrefix="0" xfId="0">
      <alignment horizontal="left" vertical="center"/>
    </xf>
    <xf numFmtId="166" fontId="18" fillId="12" borderId="4" applyAlignment="1" pivotButton="0" quotePrefix="0" xfId="0">
      <alignment horizontal="left" vertical="center"/>
    </xf>
    <xf numFmtId="165" fontId="18" fillId="12" borderId="4" applyAlignment="1" pivotButton="0" quotePrefix="0" xfId="0">
      <alignment horizontal="left" vertical="center"/>
    </xf>
    <xf numFmtId="0" fontId="18" fillId="11" borderId="4" applyAlignment="1" pivotButton="0" quotePrefix="0" xfId="0">
      <alignment horizontal="left" vertical="center"/>
    </xf>
    <xf numFmtId="165" fontId="18" fillId="11" borderId="4" applyAlignment="1" pivotButton="0" quotePrefix="0" xfId="0">
      <alignment horizontal="left" vertical="center"/>
    </xf>
    <xf numFmtId="166" fontId="18" fillId="11" borderId="4" applyAlignment="1" pivotButton="0" quotePrefix="0" xfId="0">
      <alignment horizontal="left" vertical="center"/>
    </xf>
    <xf numFmtId="165" fontId="18" fillId="11" borderId="4" applyAlignment="1" pivotButton="0" quotePrefix="0" xfId="0">
      <alignment horizontal="left" vertical="center"/>
    </xf>
    <xf numFmtId="0" fontId="23" fillId="2" borderId="2" applyAlignment="1" pivotButton="0" quotePrefix="0" xfId="0">
      <alignment horizontal="center" vertical="center"/>
    </xf>
    <xf numFmtId="165" fontId="23" fillId="2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22" fillId="8" borderId="3" applyAlignment="1" pivotButton="0" quotePrefix="0" xfId="0">
      <alignment horizontal="center" vertical="center"/>
    </xf>
    <xf numFmtId="0" fontId="22" fillId="7" borderId="0" applyAlignment="1" pivotButton="0" quotePrefix="0" xfId="0">
      <alignment horizontal="left" vertical="center"/>
    </xf>
    <xf numFmtId="0" fontId="18" fillId="12" borderId="4" applyAlignment="1" pivotButton="0" quotePrefix="0" xfId="0">
      <alignment horizontal="center" vertical="center"/>
    </xf>
    <xf numFmtId="0" fontId="18" fillId="13" borderId="4" applyAlignment="1" pivotButton="0" quotePrefix="0" xfId="0">
      <alignment horizontal="center" vertical="center"/>
    </xf>
    <xf numFmtId="0" fontId="18" fillId="11" borderId="4" applyAlignment="1" pivotButton="0" quotePrefix="0" xfId="0">
      <alignment horizontal="center" vertical="center"/>
    </xf>
    <xf numFmtId="0" fontId="18" fillId="14" borderId="4" applyAlignment="1" pivotButton="0" quotePrefix="0" xfId="0">
      <alignment horizontal="center" vertical="center"/>
    </xf>
    <xf numFmtId="0" fontId="18" fillId="15" borderId="4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165" fontId="23" fillId="2" borderId="0" applyAlignment="1" pivotButton="0" quotePrefix="0" xfId="0">
      <alignment horizontal="general" vertical="bottom"/>
    </xf>
    <xf numFmtId="0" fontId="23" fillId="2" borderId="0" applyAlignment="1" pivotButton="0" quotePrefix="0" xfId="0">
      <alignment horizontal="general" vertical="bottom"/>
    </xf>
    <xf numFmtId="0" fontId="20" fillId="9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4" fillId="15" borderId="1" applyAlignment="1" pivotButton="0" quotePrefix="0" xfId="0">
      <alignment horizontal="general" vertical="bottom"/>
    </xf>
    <xf numFmtId="0" fontId="7" fillId="15" borderId="1" applyAlignment="1" pivotButton="0" quotePrefix="0" xfId="0">
      <alignment horizontal="general" vertical="bottom"/>
    </xf>
    <xf numFmtId="0" fontId="14" fillId="14" borderId="1" applyAlignment="1" pivotButton="0" quotePrefix="0" xfId="0">
      <alignment horizontal="general" vertical="bottom"/>
    </xf>
    <xf numFmtId="0" fontId="7" fillId="14" borderId="1" applyAlignment="1" pivotButton="0" quotePrefix="0" xfId="0">
      <alignment horizontal="general" vertical="bottom"/>
    </xf>
    <xf numFmtId="0" fontId="14" fillId="13" borderId="1" applyAlignment="1" pivotButton="0" quotePrefix="0" xfId="0">
      <alignment horizontal="general" vertical="bottom"/>
    </xf>
    <xf numFmtId="0" fontId="7" fillId="13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22" fillId="9" borderId="3" applyAlignment="1" pivotButton="0" quotePrefix="0" xfId="0">
      <alignment horizontal="center" vertical="center"/>
    </xf>
    <xf numFmtId="0" fontId="24" fillId="11" borderId="5" applyAlignment="1" pivotButton="0" quotePrefix="0" xfId="0">
      <alignment horizontal="general" vertical="bottom"/>
    </xf>
    <xf numFmtId="0" fontId="18" fillId="11" borderId="5" applyAlignment="1" pivotButton="0" quotePrefix="0" xfId="0">
      <alignment horizontal="general" vertical="bottom"/>
    </xf>
    <xf numFmtId="0" fontId="24" fillId="12" borderId="5" applyAlignment="1" pivotButton="0" quotePrefix="0" xfId="0">
      <alignment horizontal="general" vertical="bottom"/>
    </xf>
    <xf numFmtId="0" fontId="18" fillId="12" borderId="5" applyAlignment="1" pivotButton="0" quotePrefix="0" xfId="0">
      <alignment horizontal="general" vertical="bottom"/>
    </xf>
    <xf numFmtId="0" fontId="20" fillId="16" borderId="0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25" fillId="15" borderId="2" applyAlignment="1" pivotButton="0" quotePrefix="0" xfId="0">
      <alignment horizontal="center" vertical="center"/>
    </xf>
    <xf numFmtId="9" fontId="26" fillId="15" borderId="2" applyAlignment="1" pivotButton="0" quotePrefix="0" xfId="0">
      <alignment horizontal="center" vertical="center"/>
    </xf>
    <xf numFmtId="0" fontId="22" fillId="16" borderId="3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7" fillId="15" borderId="4" applyAlignment="1" pivotButton="0" quotePrefix="0" xfId="0">
      <alignment horizontal="center" vertical="center"/>
    </xf>
    <xf numFmtId="0" fontId="28" fillId="15" borderId="4" applyAlignment="1" pivotButton="0" quotePrefix="0" xfId="0">
      <alignment horizontal="left" vertical="center"/>
    </xf>
    <xf numFmtId="0" fontId="27" fillId="15" borderId="4" applyAlignment="1" pivotButton="0" quotePrefix="0" xfId="0">
      <alignment horizontal="left" vertical="center"/>
    </xf>
    <xf numFmtId="0" fontId="23" fillId="8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left" vertical="center"/>
    </xf>
    <xf numFmtId="0" fontId="17" fillId="12" borderId="2" applyAlignment="1" pivotButton="0" quotePrefix="0" xfId="0">
      <alignment horizontal="left" vertical="center"/>
    </xf>
    <xf numFmtId="0" fontId="23" fillId="7" borderId="2" applyAlignment="1" pivotButton="0" quotePrefix="0" xfId="0">
      <alignment horizontal="center" vertical="center"/>
    </xf>
    <xf numFmtId="0" fontId="0" fillId="7" borderId="1" applyAlignment="1" pivotButton="0" quotePrefix="0" xfId="0">
      <alignment horizontal="general" vertical="bottom"/>
    </xf>
    <xf numFmtId="0" fontId="7" fillId="12" borderId="1" applyAlignment="1" pivotButton="0" quotePrefix="0" xfId="0">
      <alignment horizontal="general" vertical="bottom"/>
    </xf>
    <xf numFmtId="0" fontId="17" fillId="12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7" fillId="11" borderId="1" applyAlignment="1" pivotButton="0" quotePrefix="0" xfId="0">
      <alignment horizontal="general" vertical="bottom"/>
    </xf>
    <xf numFmtId="0" fontId="17" fillId="11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29" fillId="12" borderId="1" applyAlignment="1" pivotButton="0" quotePrefix="0" xfId="0">
      <alignment horizontal="general" vertical="bottom"/>
    </xf>
    <xf numFmtId="0" fontId="29" fillId="11" borderId="1" applyAlignment="1" pivotButton="0" quotePrefix="0" xfId="0">
      <alignment horizontal="general" vertical="bottom"/>
    </xf>
    <xf numFmtId="0" fontId="20" fillId="10" borderId="0" applyAlignment="1" pivotButton="0" quotePrefix="0" xfId="0">
      <alignment horizontal="center" vertical="center"/>
    </xf>
    <xf numFmtId="0" fontId="30" fillId="14" borderId="2" applyAlignment="1" pivotButton="0" quotePrefix="0" xfId="0">
      <alignment horizontal="center" vertical="center"/>
    </xf>
    <xf numFmtId="0" fontId="31" fillId="11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165" fontId="17" fillId="11" borderId="1" applyAlignment="1" pivotButton="0" quotePrefix="0" xfId="0">
      <alignment horizontal="general" vertical="bottom"/>
    </xf>
    <xf numFmtId="165" fontId="17" fillId="4" borderId="1" applyAlignment="1" pivotButton="0" quotePrefix="0" xfId="0">
      <alignment horizontal="general" vertical="bottom"/>
    </xf>
    <xf numFmtId="0" fontId="7" fillId="11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general" vertical="bottom"/>
    </xf>
    <xf numFmtId="165" fontId="7" fillId="15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7" fillId="6" borderId="2" applyAlignment="1" pivotButton="0" quotePrefix="0" xfId="0">
      <alignment horizontal="right" vertical="center"/>
    </xf>
    <xf numFmtId="0" fontId="0" fillId="0" borderId="7" pivotButton="0" quotePrefix="0" xfId="0"/>
    <xf numFmtId="0" fontId="9" fillId="2" borderId="0" applyAlignment="1" pivotButton="0" quotePrefix="0" xfId="0">
      <alignment horizontal="center" vertical="center"/>
    </xf>
    <xf numFmtId="164" fontId="8" fillId="5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165" fontId="8" fillId="5" borderId="1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165" fontId="15" fillId="7" borderId="2" applyAlignment="1" pivotButton="0" quotePrefix="0" xfId="0">
      <alignment horizontal="center" vertical="center"/>
    </xf>
    <xf numFmtId="1" fontId="15" fillId="8" borderId="2" applyAlignment="1" pivotButton="0" quotePrefix="0" xfId="0">
      <alignment horizontal="center" vertical="center"/>
    </xf>
    <xf numFmtId="1" fontId="15" fillId="9" borderId="2" applyAlignment="1" pivotButton="0" quotePrefix="0" xfId="0">
      <alignment horizontal="center" vertical="center"/>
    </xf>
    <xf numFmtId="1" fontId="15" fillId="2" borderId="2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7" fillId="11" borderId="1" applyAlignment="1" pivotButton="0" quotePrefix="0" xfId="0">
      <alignment horizontal="right" vertical="center"/>
    </xf>
    <xf numFmtId="165" fontId="7" fillId="11" borderId="1" applyAlignment="1" pivotButton="0" quotePrefix="0" xfId="0">
      <alignment horizontal="general" vertical="bottom"/>
    </xf>
    <xf numFmtId="0" fontId="18" fillId="11" borderId="1" applyAlignment="1" pivotButton="0" quotePrefix="0" xfId="0">
      <alignment horizontal="general" vertical="bottom"/>
    </xf>
    <xf numFmtId="0" fontId="0" fillId="0" borderId="9" pivotButton="0" quotePrefix="0" xfId="0"/>
    <xf numFmtId="0" fontId="1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general" vertical="bottom"/>
    </xf>
    <xf numFmtId="0" fontId="18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right" vertical="center"/>
    </xf>
    <xf numFmtId="166" fontId="19" fillId="3" borderId="1" applyAlignment="1" pivotButton="0" quotePrefix="0" xfId="0">
      <alignment horizontal="general" vertical="bottom"/>
    </xf>
    <xf numFmtId="0" fontId="20" fillId="7" borderId="0" applyAlignment="1" pivotButton="0" quotePrefix="0" xfId="0">
      <alignment horizontal="center" vertical="center"/>
    </xf>
    <xf numFmtId="0" fontId="21" fillId="11" borderId="0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0" fontId="22" fillId="8" borderId="0" applyAlignment="1" pivotButton="0" quotePrefix="0" xfId="0">
      <alignment horizontal="left" vertical="center"/>
    </xf>
    <xf numFmtId="0" fontId="18" fillId="12" borderId="4" applyAlignment="1" pivotButton="0" quotePrefix="0" xfId="0">
      <alignment horizontal="left" vertical="center"/>
    </xf>
    <xf numFmtId="165" fontId="18" fillId="12" borderId="4" applyAlignment="1" pivotButton="0" quotePrefix="0" xfId="0">
      <alignment horizontal="left" vertical="center"/>
    </xf>
    <xf numFmtId="166" fontId="18" fillId="12" borderId="4" applyAlignment="1" pivotButton="0" quotePrefix="0" xfId="0">
      <alignment horizontal="left" vertical="center"/>
    </xf>
    <xf numFmtId="0" fontId="18" fillId="11" borderId="4" applyAlignment="1" pivotButton="0" quotePrefix="0" xfId="0">
      <alignment horizontal="left" vertical="center"/>
    </xf>
    <xf numFmtId="165" fontId="18" fillId="11" borderId="4" applyAlignment="1" pivotButton="0" quotePrefix="0" xfId="0">
      <alignment horizontal="left" vertical="center"/>
    </xf>
    <xf numFmtId="166" fontId="18" fillId="11" borderId="4" applyAlignment="1" pivotButton="0" quotePrefix="0" xfId="0">
      <alignment horizontal="left" vertical="center"/>
    </xf>
    <xf numFmtId="0" fontId="23" fillId="2" borderId="2" applyAlignment="1" pivotButton="0" quotePrefix="0" xfId="0">
      <alignment horizontal="center" vertical="center"/>
    </xf>
    <xf numFmtId="165" fontId="23" fillId="2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22" fillId="8" borderId="3" applyAlignment="1" pivotButton="0" quotePrefix="0" xfId="0">
      <alignment horizontal="center" vertical="center"/>
    </xf>
    <xf numFmtId="0" fontId="22" fillId="7" borderId="0" applyAlignment="1" pivotButton="0" quotePrefix="0" xfId="0">
      <alignment horizontal="left" vertical="center"/>
    </xf>
    <xf numFmtId="0" fontId="18" fillId="12" borderId="4" applyAlignment="1" pivotButton="0" quotePrefix="0" xfId="0">
      <alignment horizontal="center" vertical="center"/>
    </xf>
    <xf numFmtId="0" fontId="18" fillId="13" borderId="4" applyAlignment="1" pivotButton="0" quotePrefix="0" xfId="0">
      <alignment horizontal="center" vertical="center"/>
    </xf>
    <xf numFmtId="0" fontId="18" fillId="11" borderId="4" applyAlignment="1" pivotButton="0" quotePrefix="0" xfId="0">
      <alignment horizontal="center" vertical="center"/>
    </xf>
    <xf numFmtId="0" fontId="18" fillId="14" borderId="4" applyAlignment="1" pivotButton="0" quotePrefix="0" xfId="0">
      <alignment horizontal="center" vertical="center"/>
    </xf>
    <xf numFmtId="0" fontId="18" fillId="15" borderId="4" applyAlignment="1" pivotButton="0" quotePrefix="0" xfId="0">
      <alignment horizontal="center" vertical="center"/>
    </xf>
    <xf numFmtId="0" fontId="18" fillId="12" borderId="4" applyAlignment="1" pivotButton="0" quotePrefix="0" xfId="0">
      <alignment horizontal="center" vertical="center"/>
    </xf>
    <xf numFmtId="0" fontId="18" fillId="12" borderId="4" applyAlignment="1" pivotButton="0" quotePrefix="0" xfId="0">
      <alignment horizontal="left" vertical="center"/>
    </xf>
    <xf numFmtId="165" fontId="18" fillId="12" borderId="4" applyAlignment="1" pivotButton="0" quotePrefix="0" xfId="0">
      <alignment horizontal="left" vertical="center"/>
    </xf>
    <xf numFmtId="0" fontId="18" fillId="13" borderId="4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165" fontId="23" fillId="2" borderId="0" applyAlignment="1" pivotButton="0" quotePrefix="0" xfId="0">
      <alignment horizontal="general" vertical="bottom"/>
    </xf>
    <xf numFmtId="0" fontId="23" fillId="2" borderId="0" applyAlignment="1" pivotButton="0" quotePrefix="0" xfId="0">
      <alignment horizontal="general" vertical="bottom"/>
    </xf>
    <xf numFmtId="0" fontId="20" fillId="9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4" fillId="15" borderId="1" applyAlignment="1" pivotButton="0" quotePrefix="0" xfId="0">
      <alignment horizontal="general" vertical="bottom"/>
    </xf>
    <xf numFmtId="0" fontId="7" fillId="15" borderId="1" applyAlignment="1" pivotButton="0" quotePrefix="0" xfId="0">
      <alignment horizontal="general" vertical="bottom"/>
    </xf>
    <xf numFmtId="0" fontId="14" fillId="14" borderId="1" applyAlignment="1" pivotButton="0" quotePrefix="0" xfId="0">
      <alignment horizontal="general" vertical="bottom"/>
    </xf>
    <xf numFmtId="0" fontId="7" fillId="14" borderId="1" applyAlignment="1" pivotButton="0" quotePrefix="0" xfId="0">
      <alignment horizontal="general" vertical="bottom"/>
    </xf>
    <xf numFmtId="0" fontId="14" fillId="13" borderId="1" applyAlignment="1" pivotButton="0" quotePrefix="0" xfId="0">
      <alignment horizontal="general" vertical="bottom"/>
    </xf>
    <xf numFmtId="0" fontId="7" fillId="13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22" fillId="9" borderId="3" applyAlignment="1" pivotButton="0" quotePrefix="0" xfId="0">
      <alignment horizontal="center" vertical="center"/>
    </xf>
    <xf numFmtId="0" fontId="24" fillId="11" borderId="5" applyAlignment="1" pivotButton="0" quotePrefix="0" xfId="0">
      <alignment horizontal="general" vertical="bottom"/>
    </xf>
    <xf numFmtId="0" fontId="18" fillId="11" borderId="5" applyAlignment="1" pivotButton="0" quotePrefix="0" xfId="0">
      <alignment horizontal="general" vertical="bottom"/>
    </xf>
    <xf numFmtId="0" fontId="24" fillId="12" borderId="5" applyAlignment="1" pivotButton="0" quotePrefix="0" xfId="0">
      <alignment horizontal="general" vertical="bottom"/>
    </xf>
    <xf numFmtId="0" fontId="18" fillId="12" borderId="5" applyAlignment="1" pivotButton="0" quotePrefix="0" xfId="0">
      <alignment horizontal="general" vertical="bottom"/>
    </xf>
    <xf numFmtId="0" fontId="20" fillId="16" borderId="0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25" fillId="15" borderId="2" applyAlignment="1" pivotButton="0" quotePrefix="0" xfId="0">
      <alignment horizontal="center" vertical="center"/>
    </xf>
    <xf numFmtId="9" fontId="26" fillId="15" borderId="2" applyAlignment="1" pivotButton="0" quotePrefix="0" xfId="0">
      <alignment horizontal="center" vertical="center"/>
    </xf>
    <xf numFmtId="0" fontId="22" fillId="16" borderId="3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7" fillId="15" borderId="4" applyAlignment="1" pivotButton="0" quotePrefix="0" xfId="0">
      <alignment horizontal="center" vertical="center"/>
    </xf>
    <xf numFmtId="0" fontId="28" fillId="15" borderId="4" applyAlignment="1" pivotButton="0" quotePrefix="0" xfId="0">
      <alignment horizontal="left" vertical="center"/>
    </xf>
    <xf numFmtId="0" fontId="27" fillId="15" borderId="4" applyAlignment="1" pivotButton="0" quotePrefix="0" xfId="0">
      <alignment horizontal="left" vertical="center"/>
    </xf>
    <xf numFmtId="0" fontId="23" fillId="8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left" vertical="center"/>
    </xf>
    <xf numFmtId="0" fontId="17" fillId="12" borderId="2" applyAlignment="1" pivotButton="0" quotePrefix="0" xfId="0">
      <alignment horizontal="left" vertical="center"/>
    </xf>
    <xf numFmtId="0" fontId="23" fillId="7" borderId="2" applyAlignment="1" pivotButton="0" quotePrefix="0" xfId="0">
      <alignment horizontal="center" vertical="center"/>
    </xf>
    <xf numFmtId="0" fontId="0" fillId="7" borderId="1" applyAlignment="1" pivotButton="0" quotePrefix="0" xfId="0">
      <alignment horizontal="general" vertical="bottom"/>
    </xf>
    <xf numFmtId="0" fontId="7" fillId="12" borderId="1" applyAlignment="1" pivotButton="0" quotePrefix="0" xfId="0">
      <alignment horizontal="general" vertical="bottom"/>
    </xf>
    <xf numFmtId="0" fontId="17" fillId="12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7" fillId="11" borderId="1" applyAlignment="1" pivotButton="0" quotePrefix="0" xfId="0">
      <alignment horizontal="general" vertical="bottom"/>
    </xf>
    <xf numFmtId="0" fontId="17" fillId="11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29" fillId="12" borderId="1" applyAlignment="1" pivotButton="0" quotePrefix="0" xfId="0">
      <alignment horizontal="general" vertical="bottom"/>
    </xf>
    <xf numFmtId="0" fontId="29" fillId="11" borderId="1" applyAlignment="1" pivotButton="0" quotePrefix="0" xfId="0">
      <alignment horizontal="general" vertical="bottom"/>
    </xf>
    <xf numFmtId="0" fontId="20" fillId="10" borderId="0" applyAlignment="1" pivotButton="0" quotePrefix="0" xfId="0">
      <alignment horizontal="center" vertical="center"/>
    </xf>
    <xf numFmtId="0" fontId="30" fillId="14" borderId="2" applyAlignment="1" pivotButton="0" quotePrefix="0" xfId="0">
      <alignment horizontal="center" vertical="center"/>
    </xf>
    <xf numFmtId="0" fontId="31" fillId="11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165" fontId="17" fillId="11" borderId="1" applyAlignment="1" pivotButton="0" quotePrefix="0" xfId="0">
      <alignment horizontal="general" vertical="bottom"/>
    </xf>
    <xf numFmtId="165" fontId="17" fillId="4" borderId="1" applyAlignment="1" pivotButton="0" quotePrefix="0" xfId="0">
      <alignment horizontal="general" vertical="bottom"/>
    </xf>
    <xf numFmtId="0" fontId="7" fillId="11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general" vertical="bottom"/>
    </xf>
    <xf numFmtId="165" fontId="7" fillId="15" borderId="1" applyAlignment="1" pivotButton="0" quotePrefix="0" xfId="0">
      <alignment horizontal="general" vertical="bottom"/>
    </xf>
    <xf numFmtId="0" fontId="32" fillId="7" borderId="14" applyAlignment="1" pivotButton="0" quotePrefix="0" xfId="0">
      <alignment horizontal="left" vertical="center"/>
    </xf>
    <xf numFmtId="0" fontId="33" fillId="0" borderId="14" pivotButton="0" quotePrefix="0" xfId="0"/>
    <xf numFmtId="0" fontId="34" fillId="12" borderId="15" applyAlignment="1" pivotButton="0" quotePrefix="0" xfId="0">
      <alignment horizontal="center" vertical="center"/>
    </xf>
    <xf numFmtId="0" fontId="34" fillId="12" borderId="15" applyAlignment="1" pivotButton="0" quotePrefix="0" xfId="0">
      <alignment horizontal="left" vertical="center"/>
    </xf>
    <xf numFmtId="165" fontId="34" fillId="12" borderId="15" applyAlignment="1" pivotButton="0" quotePrefix="0" xfId="0">
      <alignment horizontal="left" vertical="center"/>
    </xf>
    <xf numFmtId="0" fontId="34" fillId="13" borderId="15" applyAlignment="1" pivotButton="0" quotePrefix="0" xfId="0">
      <alignment horizontal="center" vertical="center"/>
    </xf>
    <xf numFmtId="0" fontId="35" fillId="2" borderId="14" applyAlignment="1" pivotButton="0" quotePrefix="0" xfId="0">
      <alignment horizontal="center" vertical="center"/>
    </xf>
    <xf numFmtId="165" fontId="35" fillId="2" borderId="14" applyAlignment="1" pivotButton="0" quotePrefix="0" xfId="0">
      <alignment horizontal="general" vertical="bottom"/>
    </xf>
    <xf numFmtId="0" fontId="35" fillId="2" borderId="1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9E7E"/>
      <rgbColor rgb="FF800080"/>
      <rgbColor rgb="FF008080"/>
      <rgbColor rgb="FFCCCCCC"/>
      <rgbColor rgb="FF888888"/>
      <rgbColor rgb="FFAAAAAA"/>
      <rgbColor rgb="FF993366"/>
      <rgbColor rgb="FFFFF9C4"/>
      <rgbColor rgb="FFE3F2FD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4E8D6"/>
      <rgbColor rgb="FFF5E6C0"/>
      <rgbColor rgb="FFC8E6C9"/>
      <rgbColor rgb="FFF5F5F5"/>
      <rgbColor rgb="FFFAF7F2"/>
      <rgbColor rgb="FFFFCDD2"/>
      <rgbColor rgb="FF3366FF"/>
      <rgbColor rgb="FF33CCCC"/>
      <rgbColor rgb="FF99CC00"/>
      <rgbColor rgb="FFFFCC00"/>
      <rgbColor rgb="FFC9A84C"/>
      <rgbColor rgb="FFE53935"/>
      <rgbColor rgb="FF666666"/>
      <rgbColor rgb="FF999999"/>
      <rgbColor rgb="FF003366"/>
      <rgbColor rgb="FF2E7D32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9A84C"/>
    <outlinePr summaryBelow="1" summaryRight="1"/>
    <pageSetUpPr fitToPage="0"/>
  </sheetPr>
  <dimension ref="A1:L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6" min="1" max="1"/>
    <col width="22" customWidth="1" style="106" min="2" max="2"/>
    <col width="18" customWidth="1" style="106" min="3" max="6"/>
    <col width="45" customWidth="1" style="106" min="7" max="7"/>
    <col width="4" customWidth="1" style="106" min="8" max="12"/>
  </cols>
  <sheetData>
    <row r="1" ht="39.75" customHeight="1" s="107">
      <c r="A1" s="108" t="inlineStr">
        <is>
          <t>✨ SMART EVENT PLANNER PRO — Primavera Events Group</t>
        </is>
      </c>
    </row>
    <row r="2" ht="19.5" customHeight="1" s="107">
      <c r="A2" s="109" t="inlineStr">
        <is>
          <t>Tu herramienta profesional de planeación de eventos</t>
        </is>
      </c>
    </row>
    <row r="4" ht="24" customHeight="1" s="107">
      <c r="A4" s="110" t="inlineStr">
        <is>
          <t>⚙️ CONFIGURACIÓN DEL EVENTO</t>
        </is>
      </c>
    </row>
    <row r="5" ht="15" customHeight="1" s="107">
      <c r="A5" s="111" t="inlineStr">
        <is>
          <t>Nombre del evento</t>
        </is>
      </c>
      <c r="B5" s="112" t="inlineStr">
        <is>
          <t>Boda Sofía &amp; Rodrigo</t>
        </is>
      </c>
      <c r="C5" s="113" t="inlineStr">
        <is>
          <t>⏳ Días para el evento:</t>
        </is>
      </c>
      <c r="D5" s="114" t="n"/>
    </row>
    <row r="6" ht="36" customHeight="1" s="107">
      <c r="A6" s="111" t="inlineStr">
        <is>
          <t>Tipo de evento</t>
        </is>
      </c>
      <c r="B6" s="112" t="inlineStr">
        <is>
          <t>Boda</t>
        </is>
      </c>
      <c r="C6" s="115">
        <f>IF(B7="","—",MAX(0,B7-TODAY()))</f>
        <v/>
      </c>
    </row>
    <row r="7" ht="15" customHeight="1" s="107">
      <c r="A7" s="111" t="inlineStr">
        <is>
          <t>Fecha del evento</t>
        </is>
      </c>
      <c r="B7" s="116" t="n">
        <v>45976</v>
      </c>
      <c r="C7" s="117" t="inlineStr">
        <is>
          <t>días restantes</t>
        </is>
      </c>
    </row>
    <row r="8" ht="15" customHeight="1" s="107">
      <c r="A8" s="111" t="inlineStr">
        <is>
          <t>Lugar</t>
        </is>
      </c>
      <c r="B8" s="112" t="inlineStr">
        <is>
          <t>Hacienda La Primavera, Morelos</t>
        </is>
      </c>
    </row>
    <row r="9" ht="15" customHeight="1" s="107">
      <c r="A9" s="111" t="inlineStr">
        <is>
          <t>Número de invitados</t>
        </is>
      </c>
      <c r="B9" s="112" t="n">
        <v>150</v>
      </c>
    </row>
    <row r="10" ht="15" customHeight="1" s="107">
      <c r="A10" s="111" t="inlineStr">
        <is>
          <t>Presupuesto total ($MXN)</t>
        </is>
      </c>
      <c r="B10" s="118" t="n">
        <v>180000</v>
      </c>
    </row>
    <row r="12" ht="15" customHeight="1" s="107">
      <c r="A12" s="119" t="inlineStr">
        <is>
          <t>💰 PRESUPUESTO GASTADO</t>
        </is>
      </c>
      <c r="B12" s="114" t="n"/>
      <c r="C12" s="114" t="n"/>
      <c r="D12" s="120" t="inlineStr">
        <is>
          <t>✅ TAREAS COMPLETADAS</t>
        </is>
      </c>
      <c r="E12" s="114" t="n"/>
      <c r="F12" s="114" t="n"/>
      <c r="G12" s="121" t="inlineStr">
        <is>
          <t>👥 INVITADOS CONFIRMADOS</t>
        </is>
      </c>
      <c r="H12" s="114" t="n"/>
      <c r="I12" s="114" t="n"/>
      <c r="J12" s="122" t="inlineStr">
        <is>
          <t>📦 SERVICIOS SELEC.</t>
        </is>
      </c>
      <c r="K12" s="114" t="n"/>
      <c r="L12" s="114" t="n"/>
    </row>
    <row r="13" ht="36" customHeight="1" s="107">
      <c r="A13" s="123">
        <f>IFERROR('💰 Presupuesto'!H52,0)</f>
        <v/>
      </c>
      <c r="B13" s="114" t="n"/>
      <c r="C13" s="114" t="n"/>
      <c r="D13" s="124">
        <f>COUNTIF('✅ Checklist'!E5:E60,"✓")</f>
        <v/>
      </c>
      <c r="E13" s="114" t="n"/>
      <c r="F13" s="114" t="n"/>
      <c r="G13" s="125">
        <f>COUNTIF('👥 Invitados'!D5:D204,"Sí")</f>
        <v/>
      </c>
      <c r="H13" s="114" t="n"/>
      <c r="I13" s="114" t="n"/>
      <c r="J13" s="126">
        <f>COUNTIF('📦 Catálogo'!G5:G116,"✓")</f>
        <v/>
      </c>
      <c r="K13" s="114" t="n"/>
      <c r="L13" s="114" t="n"/>
    </row>
    <row r="15" ht="24" customHeight="1" s="107">
      <c r="A15" s="127" t="inlineStr">
        <is>
          <t>💰 RESUMEN DE PRESUPUESTO</t>
        </is>
      </c>
      <c r="G15" s="128" t="inlineStr">
        <is>
          <t>⚠️ ALERTAS INTELIGENTES</t>
        </is>
      </c>
    </row>
    <row r="16" ht="19.5" customHeight="1" s="107">
      <c r="A16" s="129" t="inlineStr">
        <is>
          <t>Presupuesto Total</t>
        </is>
      </c>
      <c r="B16" s="130">
        <f>B10</f>
        <v/>
      </c>
      <c r="G16" s="131">
        <f>IF(AND(B7-TODAY()&lt;90,COUNTIF('📦 Catálogo'!B5:B120,"*fotógrafo*")+COUNTIF('📦 Catálogo'!G5:G120,"✓")=0),"🔴 Faltan menos de 90 días y no tienes fotógrafo","🟢 Fotografía en orden")</f>
        <v/>
      </c>
      <c r="H16" s="114" t="n"/>
      <c r="I16" s="114" t="n"/>
      <c r="J16" s="114" t="n"/>
      <c r="K16" s="114" t="n"/>
      <c r="L16" s="132" t="n"/>
    </row>
    <row r="17" ht="19.5" customHeight="1" s="107">
      <c r="A17" s="133" t="inlineStr">
        <is>
          <t>Total Estimado (Catálogo)</t>
        </is>
      </c>
      <c r="B17" s="134">
        <f>IFERROR('💰 Presupuesto'!E58,0)</f>
        <v/>
      </c>
      <c r="G17" s="135">
        <f>IF(B7-TODAY()&lt;60,"🟠 Faltan menos de 60 días — confirma DJ y música","🟢 Música en orden")</f>
        <v/>
      </c>
      <c r="H17" s="114" t="n"/>
      <c r="I17" s="114" t="n"/>
      <c r="J17" s="114" t="n"/>
      <c r="K17" s="114" t="n"/>
      <c r="L17" s="132" t="n"/>
    </row>
    <row r="18" ht="19.5" customHeight="1" s="107">
      <c r="A18" s="129" t="inlineStr">
        <is>
          <t>Total Real (Gastado)</t>
        </is>
      </c>
      <c r="B18" s="130">
        <f>IFERROR('💰 Presupuesto'!G58,0)</f>
        <v/>
      </c>
      <c r="G18" s="131">
        <f>IF(IFERROR(B18/B16,0)&gt;0.8,"🔴 Superaste el 80% del presupuesto","🟢 Presupuesto bajo control")</f>
        <v/>
      </c>
      <c r="H18" s="114" t="n"/>
      <c r="I18" s="114" t="n"/>
      <c r="J18" s="114" t="n"/>
      <c r="K18" s="114" t="n"/>
      <c r="L18" s="132" t="n"/>
    </row>
    <row r="19" ht="19.5" customHeight="1" s="107">
      <c r="A19" s="133" t="inlineStr">
        <is>
          <t>Total Anticipos Pagados</t>
        </is>
      </c>
      <c r="B19" s="134">
        <f>IFERROR('💰 Presupuesto'!H58,0)</f>
        <v/>
      </c>
      <c r="G19" s="135">
        <f>IF(AND(B7-TODAY()&lt;30,IFERROR(COUNTIF('👥 Invitados'!D5:D204,"Sí")/B9,0)&lt;0.5),"🟡 Menos del 50% de confirmaciones a 30 días","🟢 Confirmaciones en orden")</f>
        <v/>
      </c>
      <c r="H19" s="114" t="n"/>
      <c r="I19" s="114" t="n"/>
      <c r="J19" s="114" t="n"/>
      <c r="K19" s="114" t="n"/>
      <c r="L19" s="132" t="n"/>
    </row>
    <row r="20" ht="19.5" customHeight="1" s="107">
      <c r="A20" s="129" t="inlineStr">
        <is>
          <t>Saldo Pendiente</t>
        </is>
      </c>
      <c r="B20" s="130">
        <f>IFERROR('💰 Presupuesto'!I58,0)</f>
        <v/>
      </c>
      <c r="G20" s="131">
        <f>IF(B7-TODAY()&lt;7,"🔴 ¡SEMANA DEL EVENTO! Verifica últimos pagos y logística","🟢 Aún hay tiempo")</f>
        <v/>
      </c>
      <c r="H20" s="114" t="n"/>
      <c r="I20" s="114" t="n"/>
      <c r="J20" s="114" t="n"/>
      <c r="K20" s="114" t="n"/>
      <c r="L20" s="132" t="n"/>
    </row>
    <row r="21" ht="15" customHeight="1" s="107">
      <c r="A21" s="133" t="inlineStr">
        <is>
          <t>Disponible (Presupuesto-Estimado)</t>
        </is>
      </c>
      <c r="B21" s="134">
        <f>B16-B17</f>
        <v/>
      </c>
    </row>
    <row r="22" ht="15" customHeight="1" s="107">
      <c r="A22" s="136" t="inlineStr">
        <is>
          <t>% Presupuesto Utilizado</t>
        </is>
      </c>
      <c r="B22" s="137">
        <f>IFERROR(B18/B16,0)</f>
        <v/>
      </c>
    </row>
  </sheetData>
  <mergeCells count="21">
    <mergeCell ref="D13:F13"/>
    <mergeCell ref="C6:D6"/>
    <mergeCell ref="G19:L19"/>
    <mergeCell ref="G13:I13"/>
    <mergeCell ref="A4:D4"/>
    <mergeCell ref="C5:D5"/>
    <mergeCell ref="G18:L18"/>
    <mergeCell ref="A12:C12"/>
    <mergeCell ref="G15:L15"/>
    <mergeCell ref="A2:L2"/>
    <mergeCell ref="D12:F12"/>
    <mergeCell ref="J12:L12"/>
    <mergeCell ref="G20:L20"/>
    <mergeCell ref="A13:C13"/>
    <mergeCell ref="G16:L16"/>
    <mergeCell ref="G12:I12"/>
    <mergeCell ref="A15:F15"/>
    <mergeCell ref="C7:D7"/>
    <mergeCell ref="J13:L13"/>
    <mergeCell ref="A1:L1"/>
    <mergeCell ref="G17:L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C9A84C"/>
    <outlinePr summaryBelow="1" summaryRight="1"/>
    <pageSetUpPr fitToPage="0"/>
  </sheetPr>
  <dimension ref="A1:L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06" min="1" max="1"/>
    <col width="20" customWidth="1" style="106" min="2" max="2"/>
    <col width="32" customWidth="1" style="106" min="3" max="3"/>
    <col width="28" customWidth="1" style="106" min="4" max="4"/>
    <col width="16" customWidth="1" style="106" min="5" max="5"/>
    <col width="12" customWidth="1" style="106" min="6" max="6"/>
    <col width="16" customWidth="1" style="106" min="7" max="9"/>
    <col width="14" customWidth="1" style="106" min="10" max="10"/>
    <col width="28" customWidth="1" style="106" min="11" max="11"/>
  </cols>
  <sheetData>
    <row r="1" ht="30" customHeight="1" s="107">
      <c r="A1" s="138" t="inlineStr">
        <is>
          <t>💰 PRESUPUESTO DEL EVENTO</t>
        </is>
      </c>
    </row>
    <row r="2" ht="18" customHeight="1" s="107">
      <c r="A2" s="139" t="inlineStr">
        <is>
          <t>Gestiona costos estimados, reales y saldos pendientes</t>
        </is>
      </c>
    </row>
    <row r="3" ht="15" customHeight="1" s="107">
      <c r="A3" s="140" t="inlineStr">
        <is>
          <t>N°</t>
        </is>
      </c>
      <c r="B3" s="140" t="inlineStr">
        <is>
          <t>Categoría</t>
        </is>
      </c>
      <c r="C3" s="140" t="inlineStr">
        <is>
          <t>Servicio / Proveedor</t>
        </is>
      </c>
      <c r="D3" s="140" t="inlineStr">
        <is>
          <t>Descripción</t>
        </is>
      </c>
      <c r="E3" s="140" t="inlineStr">
        <is>
          <t>Costo Estimado</t>
        </is>
      </c>
      <c r="F3" s="140" t="inlineStr">
        <is>
          <t>% del Total</t>
        </is>
      </c>
      <c r="G3" s="140" t="inlineStr">
        <is>
          <t>Costo Real</t>
        </is>
      </c>
      <c r="H3" s="140" t="inlineStr">
        <is>
          <t>Anticipo Pagado</t>
        </is>
      </c>
      <c r="I3" s="140" t="inlineStr">
        <is>
          <t>Saldo Pendiente</t>
        </is>
      </c>
      <c r="J3" s="140" t="inlineStr">
        <is>
          <t>Estado</t>
        </is>
      </c>
      <c r="K3" s="140" t="inlineStr">
        <is>
          <t>Notas</t>
        </is>
      </c>
    </row>
    <row r="4" ht="19.5" customHeight="1" s="107">
      <c r="A4" s="141" t="inlineStr">
        <is>
          <t xml:space="preserve">  🏛️ Locación &amp; Logística</t>
        </is>
      </c>
    </row>
    <row r="5" ht="18" customHeight="1" s="107">
      <c r="A5" s="160" t="n">
        <v>1</v>
      </c>
      <c r="B5" s="160" t="inlineStr">
        <is>
          <t>🏛️ Locación &amp; Logística</t>
        </is>
      </c>
      <c r="C5" s="160" t="inlineStr">
        <is>
          <t>Salón de eventos — Hacienda La Primavera</t>
        </is>
      </c>
      <c r="D5" s="160" t="n"/>
      <c r="E5" s="161" t="n">
        <v>45000</v>
      </c>
      <c r="F5" s="144">
        <f>IFERROR(E5/E$58,0)</f>
        <v/>
      </c>
      <c r="G5" s="161" t="n">
        <v>45000</v>
      </c>
      <c r="H5" s="161" t="n">
        <v>20000</v>
      </c>
      <c r="I5" s="161">
        <f>IFERROR(G5-H5,0)</f>
        <v/>
      </c>
      <c r="J5" s="160" t="inlineStr">
        <is>
          <t>Anticipo pagado</t>
        </is>
      </c>
      <c r="K5" s="160" t="n"/>
    </row>
    <row r="6" ht="18" customHeight="1" s="107">
      <c r="A6" s="145" t="n">
        <v>2</v>
      </c>
      <c r="B6" s="145" t="inlineStr">
        <is>
          <t>🏛️ Locación &amp; Logística</t>
        </is>
      </c>
      <c r="C6" s="145" t="inlineStr">
        <is>
          <t>Valet Parking — Staff Externo</t>
        </is>
      </c>
      <c r="D6" s="145" t="n"/>
      <c r="E6" s="146" t="n">
        <v>5000</v>
      </c>
      <c r="F6" s="147">
        <f>IFERROR(E6/E$58,0)</f>
        <v/>
      </c>
      <c r="G6" s="146" t="n">
        <v>5000</v>
      </c>
      <c r="H6" s="146" t="n">
        <v>2000</v>
      </c>
      <c r="I6" s="146">
        <f>IFERROR(G6-H6,0)</f>
        <v/>
      </c>
      <c r="J6" s="145" t="inlineStr">
        <is>
          <t>Anticipo pagado</t>
        </is>
      </c>
      <c r="K6" s="145" t="n"/>
    </row>
    <row r="7" ht="18" customHeight="1" s="107">
      <c r="A7" s="160" t="n">
        <v>3</v>
      </c>
      <c r="B7" s="160" t="inlineStr">
        <is>
          <t>🏛️ Locación &amp; Logística</t>
        </is>
      </c>
      <c r="C7" s="160" t="inlineStr">
        <is>
          <t>Generador eléctrico — Rentas López</t>
        </is>
      </c>
      <c r="D7" s="160" t="n"/>
      <c r="E7" s="161" t="n">
        <v>3500</v>
      </c>
      <c r="F7" s="144">
        <f>IFERROR(E7/E$58,0)</f>
        <v/>
      </c>
      <c r="G7" s="161" t="n">
        <v>3500</v>
      </c>
      <c r="H7" s="161" t="n">
        <v>0</v>
      </c>
      <c r="I7" s="161">
        <f>IFERROR(G7-H7,0)</f>
        <v/>
      </c>
      <c r="J7" s="160" t="inlineStr">
        <is>
          <t>Pendiente</t>
        </is>
      </c>
      <c r="K7" s="160" t="n"/>
    </row>
    <row r="8" ht="18" customHeight="1" s="107">
      <c r="A8" s="145" t="n">
        <v>4</v>
      </c>
      <c r="B8" s="145" t="inlineStr">
        <is>
          <t>🏛️ Locación &amp; Logística</t>
        </is>
      </c>
      <c r="C8" s="145" t="inlineStr">
        <is>
          <t>Seguridad privada — SecureEvents</t>
        </is>
      </c>
      <c r="D8" s="145" t="n"/>
      <c r="E8" s="146" t="n">
        <v>4000</v>
      </c>
      <c r="F8" s="147">
        <f>IFERROR(E8/E$58,0)</f>
        <v/>
      </c>
      <c r="G8" s="146" t="n">
        <v>4000</v>
      </c>
      <c r="H8" s="146" t="n">
        <v>4000</v>
      </c>
      <c r="I8" s="146">
        <f>IFERROR(G8-H8,0)</f>
        <v/>
      </c>
      <c r="J8" s="145" t="inlineStr">
        <is>
          <t>Pagado</t>
        </is>
      </c>
      <c r="K8" s="145" t="n"/>
    </row>
    <row r="9" ht="19.5" customHeight="1" s="107">
      <c r="A9" s="141" t="inlineStr">
        <is>
          <t xml:space="preserve">  🍽️ Banquete &amp; Bebidas</t>
        </is>
      </c>
    </row>
    <row r="10" ht="18" customHeight="1" s="107">
      <c r="A10" s="160" t="n">
        <v>5</v>
      </c>
      <c r="B10" s="160" t="inlineStr">
        <is>
          <t>🍽️ Banquete &amp; Bebidas</t>
        </is>
      </c>
      <c r="C10" s="160" t="inlineStr">
        <is>
          <t>Banquete 3 tiempos — Catering Gourmet MX</t>
        </is>
      </c>
      <c r="D10" s="160" t="n"/>
      <c r="E10" s="161" t="n">
        <v>35000</v>
      </c>
      <c r="F10" s="144">
        <f>IFERROR(E10/E$58,0)</f>
        <v/>
      </c>
      <c r="G10" s="161" t="n">
        <v>35000</v>
      </c>
      <c r="H10" s="161" t="n">
        <v>15000</v>
      </c>
      <c r="I10" s="161">
        <f>IFERROR(G10-H10,0)</f>
        <v/>
      </c>
      <c r="J10" s="160" t="inlineStr">
        <is>
          <t>Anticipo pagado</t>
        </is>
      </c>
      <c r="K10" s="160" t="n"/>
    </row>
    <row r="11" ht="18" customHeight="1" s="107">
      <c r="A11" s="145" t="n">
        <v>6</v>
      </c>
      <c r="B11" s="145" t="inlineStr">
        <is>
          <t>🍽️ Banquete &amp; Bebidas</t>
        </is>
      </c>
      <c r="C11" s="145" t="inlineStr">
        <is>
          <t>Pastel de bodas — Dulcería Arte</t>
        </is>
      </c>
      <c r="D11" s="145" t="n"/>
      <c r="E11" s="146" t="n">
        <v>8000</v>
      </c>
      <c r="F11" s="147">
        <f>IFERROR(E11/E$58,0)</f>
        <v/>
      </c>
      <c r="G11" s="146" t="n">
        <v>8500</v>
      </c>
      <c r="H11" s="146" t="n">
        <v>4000</v>
      </c>
      <c r="I11" s="146">
        <f>IFERROR(G11-H11,0)</f>
        <v/>
      </c>
      <c r="J11" s="145" t="inlineStr">
        <is>
          <t>Anticipo pagado</t>
        </is>
      </c>
      <c r="K11" s="145" t="n"/>
    </row>
    <row r="12" ht="18" customHeight="1" s="107">
      <c r="A12" s="160" t="n">
        <v>7</v>
      </c>
      <c r="B12" s="160" t="inlineStr">
        <is>
          <t>🍽️ Banquete &amp; Bebidas</t>
        </is>
      </c>
      <c r="C12" s="160" t="inlineStr">
        <is>
          <t>Barra libre — Bar Móvil Premium</t>
        </is>
      </c>
      <c r="D12" s="160" t="n"/>
      <c r="E12" s="161" t="n">
        <v>12000</v>
      </c>
      <c r="F12" s="144">
        <f>IFERROR(E12/E$58,0)</f>
        <v/>
      </c>
      <c r="G12" s="161" t="n">
        <v>12000</v>
      </c>
      <c r="H12" s="161" t="n">
        <v>6000</v>
      </c>
      <c r="I12" s="161">
        <f>IFERROR(G12-H12,0)</f>
        <v/>
      </c>
      <c r="J12" s="160" t="inlineStr">
        <is>
          <t>Anticipo pagado</t>
        </is>
      </c>
      <c r="K12" s="160" t="n"/>
    </row>
    <row r="13" ht="18" customHeight="1" s="107">
      <c r="A13" s="145" t="n">
        <v>8</v>
      </c>
      <c r="B13" s="145" t="inlineStr">
        <is>
          <t>🍽️ Banquete &amp; Bebidas</t>
        </is>
      </c>
      <c r="C13" s="145" t="inlineStr">
        <is>
          <t>Taquiza madrugada — Tacos El Compadre</t>
        </is>
      </c>
      <c r="D13" s="145" t="n"/>
      <c r="E13" s="146" t="n">
        <v>6000</v>
      </c>
      <c r="F13" s="147">
        <f>IFERROR(E13/E$58,0)</f>
        <v/>
      </c>
      <c r="G13" s="146" t="n">
        <v>6000</v>
      </c>
      <c r="H13" s="146" t="n">
        <v>0</v>
      </c>
      <c r="I13" s="146">
        <f>IFERROR(G13-H13,0)</f>
        <v/>
      </c>
      <c r="J13" s="145" t="inlineStr">
        <is>
          <t>Pendiente</t>
        </is>
      </c>
      <c r="K13" s="145" t="n"/>
    </row>
    <row r="14" ht="19.5" customHeight="1" s="107">
      <c r="A14" s="141" t="inlineStr">
        <is>
          <t xml:space="preserve">  🎧 Entretenimiento</t>
        </is>
      </c>
    </row>
    <row r="15" ht="18" customHeight="1" s="107">
      <c r="A15" s="160" t="n">
        <v>9</v>
      </c>
      <c r="B15" s="160" t="inlineStr">
        <is>
          <t>🎧 Entretenimiento</t>
        </is>
      </c>
      <c r="C15" s="160" t="inlineStr">
        <is>
          <t>DJ profesional — DJ Alex Beats</t>
        </is>
      </c>
      <c r="D15" s="160" t="n"/>
      <c r="E15" s="161" t="n">
        <v>8000</v>
      </c>
      <c r="F15" s="144">
        <f>IFERROR(E15/E$58,0)</f>
        <v/>
      </c>
      <c r="G15" s="161" t="n">
        <v>8000</v>
      </c>
      <c r="H15" s="161" t="n">
        <v>4000</v>
      </c>
      <c r="I15" s="161">
        <f>IFERROR(G15-H15,0)</f>
        <v/>
      </c>
      <c r="J15" s="160" t="inlineStr">
        <is>
          <t>Anticipo pagado</t>
        </is>
      </c>
      <c r="K15" s="160" t="n"/>
    </row>
    <row r="16" ht="18" customHeight="1" s="107">
      <c r="A16" s="145" t="n">
        <v>10</v>
      </c>
      <c r="B16" s="145" t="inlineStr">
        <is>
          <t>🎧 Entretenimiento</t>
        </is>
      </c>
      <c r="C16" s="145" t="inlineStr">
        <is>
          <t>Mariachi — Mariachi Sol de México</t>
        </is>
      </c>
      <c r="D16" s="145" t="n"/>
      <c r="E16" s="146" t="n">
        <v>6000</v>
      </c>
      <c r="F16" s="147">
        <f>IFERROR(E16/E$58,0)</f>
        <v/>
      </c>
      <c r="G16" s="146" t="n">
        <v>6000</v>
      </c>
      <c r="H16" s="146" t="n">
        <v>6000</v>
      </c>
      <c r="I16" s="146">
        <f>IFERROR(G16-H16,0)</f>
        <v/>
      </c>
      <c r="J16" s="145" t="inlineStr">
        <is>
          <t>Pagado</t>
        </is>
      </c>
      <c r="K16" s="145" t="n"/>
    </row>
    <row r="17" ht="18" customHeight="1" s="107">
      <c r="A17" s="160" t="n">
        <v>11</v>
      </c>
      <c r="B17" s="160" t="inlineStr">
        <is>
          <t>🎧 Entretenimiento</t>
        </is>
      </c>
      <c r="C17" s="160" t="inlineStr">
        <is>
          <t>Show sorpresa — Batucada Ritmo Vivo</t>
        </is>
      </c>
      <c r="D17" s="160" t="n"/>
      <c r="E17" s="161" t="n">
        <v>5000</v>
      </c>
      <c r="F17" s="144">
        <f>IFERROR(E17/E$58,0)</f>
        <v/>
      </c>
      <c r="G17" s="161" t="n">
        <v>5000</v>
      </c>
      <c r="H17" s="161" t="n">
        <v>0</v>
      </c>
      <c r="I17" s="161">
        <f>IFERROR(G17-H17,0)</f>
        <v/>
      </c>
      <c r="J17" s="160" t="inlineStr">
        <is>
          <t>Pendiente</t>
        </is>
      </c>
      <c r="K17" s="160" t="n"/>
    </row>
    <row r="18" ht="18" customHeight="1" s="107">
      <c r="A18" s="145" t="n">
        <v>12</v>
      </c>
      <c r="B18" s="145" t="inlineStr">
        <is>
          <t>🎧 Entretenimiento</t>
        </is>
      </c>
      <c r="C18" s="145" t="inlineStr">
        <is>
          <t>Maestro de ceremonias — MC Eventos Pro</t>
        </is>
      </c>
      <c r="D18" s="145" t="n"/>
      <c r="E18" s="146" t="n">
        <v>3500</v>
      </c>
      <c r="F18" s="147">
        <f>IFERROR(E18/E$58,0)</f>
        <v/>
      </c>
      <c r="G18" s="146" t="n">
        <v>3500</v>
      </c>
      <c r="H18" s="146" t="n">
        <v>3500</v>
      </c>
      <c r="I18" s="146">
        <f>IFERROR(G18-H18,0)</f>
        <v/>
      </c>
      <c r="J18" s="145" t="inlineStr">
        <is>
          <t>Pagado</t>
        </is>
      </c>
      <c r="K18" s="145" t="n"/>
    </row>
    <row r="19" ht="19.5" customHeight="1" s="107">
      <c r="A19" s="141" t="inlineStr">
        <is>
          <t xml:space="preserve">  📸 Foto &amp; Video</t>
        </is>
      </c>
    </row>
    <row r="20" ht="18" customHeight="1" s="107">
      <c r="A20" s="160" t="n">
        <v>13</v>
      </c>
      <c r="B20" s="160" t="inlineStr">
        <is>
          <t>📸 Foto &amp; Video</t>
        </is>
      </c>
      <c r="C20" s="160" t="inlineStr">
        <is>
          <t>Fotógrafo — Luis Mendoza Photography</t>
        </is>
      </c>
      <c r="D20" s="160" t="n"/>
      <c r="E20" s="161" t="n">
        <v>15000</v>
      </c>
      <c r="F20" s="144">
        <f>IFERROR(E20/E$58,0)</f>
        <v/>
      </c>
      <c r="G20" s="161" t="n">
        <v>15000</v>
      </c>
      <c r="H20" s="161" t="n">
        <v>7500</v>
      </c>
      <c r="I20" s="161">
        <f>IFERROR(G20-H20,0)</f>
        <v/>
      </c>
      <c r="J20" s="160" t="inlineStr">
        <is>
          <t>Anticipo pagado</t>
        </is>
      </c>
      <c r="K20" s="160" t="n"/>
    </row>
    <row r="21" ht="18" customHeight="1" s="107">
      <c r="A21" s="145" t="n">
        <v>14</v>
      </c>
      <c r="B21" s="145" t="inlineStr">
        <is>
          <t>📸 Foto &amp; Video</t>
        </is>
      </c>
      <c r="C21" s="145" t="inlineStr">
        <is>
          <t>Videógrafo + Drone — Pixel Films</t>
        </is>
      </c>
      <c r="D21" s="145" t="n"/>
      <c r="E21" s="146" t="n">
        <v>12000</v>
      </c>
      <c r="F21" s="147">
        <f>IFERROR(E21/E$58,0)</f>
        <v/>
      </c>
      <c r="G21" s="146" t="n">
        <v>12000</v>
      </c>
      <c r="H21" s="146" t="n">
        <v>6000</v>
      </c>
      <c r="I21" s="146">
        <f>IFERROR(G21-H21,0)</f>
        <v/>
      </c>
      <c r="J21" s="145" t="inlineStr">
        <is>
          <t>Anticipo pagado</t>
        </is>
      </c>
      <c r="K21" s="145" t="n"/>
    </row>
    <row r="22" ht="18" customHeight="1" s="107">
      <c r="A22" s="160" t="n">
        <v>15</v>
      </c>
      <c r="B22" s="160" t="inlineStr">
        <is>
          <t>📸 Foto &amp; Video</t>
        </is>
      </c>
      <c r="C22" s="160" t="inlineStr">
        <is>
          <t>Same Day Edit — Pixel Films</t>
        </is>
      </c>
      <c r="D22" s="160" t="n"/>
      <c r="E22" s="161" t="n">
        <v>3000</v>
      </c>
      <c r="F22" s="144">
        <f>IFERROR(E22/E$58,0)</f>
        <v/>
      </c>
      <c r="G22" s="161" t="n">
        <v>3000</v>
      </c>
      <c r="H22" s="161" t="n">
        <v>0</v>
      </c>
      <c r="I22" s="161">
        <f>IFERROR(G22-H22,0)</f>
        <v/>
      </c>
      <c r="J22" s="160" t="inlineStr">
        <is>
          <t>Pendiente</t>
        </is>
      </c>
      <c r="K22" s="160" t="n"/>
    </row>
    <row r="23" ht="19.5" customHeight="1" s="107">
      <c r="A23" s="141" t="inlineStr">
        <is>
          <t xml:space="preserve">  💄 Belleza &amp; Imagen</t>
        </is>
      </c>
    </row>
    <row r="24" ht="18" customHeight="1" s="107">
      <c r="A24" s="145" t="n">
        <v>16</v>
      </c>
      <c r="B24" s="145" t="inlineStr">
        <is>
          <t>💄 Belleza &amp; Imagen</t>
        </is>
      </c>
      <c r="C24" s="145" t="inlineStr">
        <is>
          <t>Maquillista — Glam Studio</t>
        </is>
      </c>
      <c r="D24" s="145" t="n"/>
      <c r="E24" s="146" t="n">
        <v>4500</v>
      </c>
      <c r="F24" s="147">
        <f>IFERROR(E24/E$58,0)</f>
        <v/>
      </c>
      <c r="G24" s="146" t="n">
        <v>4500</v>
      </c>
      <c r="H24" s="146" t="n">
        <v>2000</v>
      </c>
      <c r="I24" s="146">
        <f>IFERROR(G24-H24,0)</f>
        <v/>
      </c>
      <c r="J24" s="145" t="inlineStr">
        <is>
          <t>Anticipo pagado</t>
        </is>
      </c>
      <c r="K24" s="145" t="n"/>
    </row>
    <row r="25" ht="18" customHeight="1" s="107">
      <c r="A25" s="160" t="n">
        <v>17</v>
      </c>
      <c r="B25" s="160" t="inlineStr">
        <is>
          <t>💄 Belleza &amp; Imagen</t>
        </is>
      </c>
      <c r="C25" s="160" t="inlineStr">
        <is>
          <t>Peinadora / Estilista — Glam Studio</t>
        </is>
      </c>
      <c r="D25" s="160" t="n"/>
      <c r="E25" s="161" t="n">
        <v>3500</v>
      </c>
      <c r="F25" s="144">
        <f>IFERROR(E25/E$58,0)</f>
        <v/>
      </c>
      <c r="G25" s="161" t="n">
        <v>3500</v>
      </c>
      <c r="H25" s="161" t="n">
        <v>1500</v>
      </c>
      <c r="I25" s="161">
        <f>IFERROR(G25-H25,0)</f>
        <v/>
      </c>
      <c r="J25" s="160" t="inlineStr">
        <is>
          <t>Anticipo pagado</t>
        </is>
      </c>
      <c r="K25" s="160" t="n"/>
    </row>
    <row r="26" ht="18" customHeight="1" s="107">
      <c r="A26" s="145" t="n">
        <v>18</v>
      </c>
      <c r="B26" s="145" t="inlineStr">
        <is>
          <t>💄 Belleza &amp; Imagen</t>
        </is>
      </c>
      <c r="C26" s="145" t="inlineStr">
        <is>
          <t>Barbero (novio) — Barber Kings</t>
        </is>
      </c>
      <c r="D26" s="145" t="n"/>
      <c r="E26" s="146" t="n">
        <v>800</v>
      </c>
      <c r="F26" s="147">
        <f>IFERROR(E26/E$58,0)</f>
        <v/>
      </c>
      <c r="G26" s="146" t="n">
        <v>800</v>
      </c>
      <c r="H26" s="146" t="n">
        <v>800</v>
      </c>
      <c r="I26" s="146">
        <f>IFERROR(G26-H26,0)</f>
        <v/>
      </c>
      <c r="J26" s="145" t="inlineStr">
        <is>
          <t>Pagado</t>
        </is>
      </c>
      <c r="K26" s="145" t="n"/>
    </row>
    <row r="27" ht="19.5" customHeight="1" s="107">
      <c r="A27" s="141" t="inlineStr">
        <is>
          <t xml:space="preserve">  👗 Vestuario</t>
        </is>
      </c>
    </row>
    <row r="28" ht="18" customHeight="1" s="107">
      <c r="A28" s="160" t="n">
        <v>19</v>
      </c>
      <c r="B28" s="160" t="inlineStr">
        <is>
          <t>👗 Vestuario</t>
        </is>
      </c>
      <c r="C28" s="160" t="inlineStr">
        <is>
          <t>Vestido de novia — Bridal House Cuernavaca</t>
        </is>
      </c>
      <c r="D28" s="160" t="n"/>
      <c r="E28" s="161" t="n">
        <v>18000</v>
      </c>
      <c r="F28" s="144">
        <f>IFERROR(E28/E$58,0)</f>
        <v/>
      </c>
      <c r="G28" s="161" t="n">
        <v>18000</v>
      </c>
      <c r="H28" s="161" t="n">
        <v>9000</v>
      </c>
      <c r="I28" s="161">
        <f>IFERROR(G28-H28,0)</f>
        <v/>
      </c>
      <c r="J28" s="160" t="inlineStr">
        <is>
          <t>Anticipo pagado</t>
        </is>
      </c>
      <c r="K28" s="160" t="n"/>
    </row>
    <row r="29" ht="18" customHeight="1" s="107">
      <c r="A29" s="145" t="n">
        <v>20</v>
      </c>
      <c r="B29" s="145" t="inlineStr">
        <is>
          <t>👗 Vestuario</t>
        </is>
      </c>
      <c r="C29" s="145" t="inlineStr">
        <is>
          <t>Traje del novio — Fashion Men</t>
        </is>
      </c>
      <c r="D29" s="145" t="n"/>
      <c r="E29" s="146" t="n">
        <v>6000</v>
      </c>
      <c r="F29" s="147">
        <f>IFERROR(E29/E$58,0)</f>
        <v/>
      </c>
      <c r="G29" s="146" t="n">
        <v>6000</v>
      </c>
      <c r="H29" s="146" t="n">
        <v>3000</v>
      </c>
      <c r="I29" s="146">
        <f>IFERROR(G29-H29,0)</f>
        <v/>
      </c>
      <c r="J29" s="145" t="inlineStr">
        <is>
          <t>Anticipo pagado</t>
        </is>
      </c>
      <c r="K29" s="145" t="n"/>
    </row>
    <row r="30" ht="18" customHeight="1" s="107">
      <c r="A30" s="160" t="n">
        <v>21</v>
      </c>
      <c r="B30" s="160" t="inlineStr">
        <is>
          <t>👗 Vestuario</t>
        </is>
      </c>
      <c r="C30" s="160" t="inlineStr">
        <is>
          <t>Vestidos de damas (5) — Boutique Elegance</t>
        </is>
      </c>
      <c r="D30" s="160" t="n"/>
      <c r="E30" s="161" t="n">
        <v>7500</v>
      </c>
      <c r="F30" s="144">
        <f>IFERROR(E30/E$58,0)</f>
        <v/>
      </c>
      <c r="G30" s="161" t="n">
        <v>7500</v>
      </c>
      <c r="H30" s="161" t="n">
        <v>3500</v>
      </c>
      <c r="I30" s="161">
        <f>IFERROR(G30-H30,0)</f>
        <v/>
      </c>
      <c r="J30" s="160" t="inlineStr">
        <is>
          <t>Anticipo pagado</t>
        </is>
      </c>
      <c r="K30" s="160" t="n"/>
    </row>
    <row r="31" ht="19.5" customHeight="1" s="107">
      <c r="A31" s="141" t="inlineStr">
        <is>
          <t xml:space="preserve">  💃 Coreografía &amp; Show</t>
        </is>
      </c>
    </row>
    <row r="32" ht="18" customHeight="1" s="107">
      <c r="A32" s="145" t="n">
        <v>22</v>
      </c>
      <c r="B32" s="145" t="inlineStr">
        <is>
          <t>💃 Coreografía &amp; Show</t>
        </is>
      </c>
      <c r="C32" s="145" t="inlineStr">
        <is>
          <t>Coreógrafo — Dance Academy Pro</t>
        </is>
      </c>
      <c r="D32" s="145" t="n"/>
      <c r="E32" s="146" t="n">
        <v>4000</v>
      </c>
      <c r="F32" s="147">
        <f>IFERROR(E32/E$58,0)</f>
        <v/>
      </c>
      <c r="G32" s="146" t="n">
        <v>4000</v>
      </c>
      <c r="H32" s="146" t="n">
        <v>2000</v>
      </c>
      <c r="I32" s="146">
        <f>IFERROR(G32-H32,0)</f>
        <v/>
      </c>
      <c r="J32" s="145" t="inlineStr">
        <is>
          <t>Anticipo pagado</t>
        </is>
      </c>
      <c r="K32" s="145" t="n"/>
    </row>
    <row r="33" ht="18" customHeight="1" s="107">
      <c r="A33" s="160" t="n">
        <v>23</v>
      </c>
      <c r="B33" s="160" t="inlineStr">
        <is>
          <t>💃 Coreografía &amp; Show</t>
        </is>
      </c>
      <c r="C33" s="160" t="inlineStr">
        <is>
          <t>Clases de baile (10 sesiones) — Dance Academy Pro</t>
        </is>
      </c>
      <c r="D33" s="160" t="n"/>
      <c r="E33" s="161" t="n">
        <v>3000</v>
      </c>
      <c r="F33" s="144">
        <f>IFERROR(E33/E$58,0)</f>
        <v/>
      </c>
      <c r="G33" s="161" t="n">
        <v>3000</v>
      </c>
      <c r="H33" s="161" t="n">
        <v>3000</v>
      </c>
      <c r="I33" s="161">
        <f>IFERROR(G33-H33,0)</f>
        <v/>
      </c>
      <c r="J33" s="160" t="inlineStr">
        <is>
          <t>Pagado</t>
        </is>
      </c>
      <c r="K33" s="160" t="n"/>
    </row>
    <row r="34" ht="19.5" customHeight="1" s="107">
      <c r="A34" s="141" t="inlineStr">
        <is>
          <t xml:space="preserve">  🌸 Decoración &amp; Diseño</t>
        </is>
      </c>
    </row>
    <row r="35" ht="18" customHeight="1" s="107">
      <c r="A35" s="145" t="n">
        <v>24</v>
      </c>
      <c r="B35" s="145" t="inlineStr">
        <is>
          <t>🌸 Decoración &amp; Diseño</t>
        </is>
      </c>
      <c r="C35" s="145" t="inlineStr">
        <is>
          <t>Decorador principal — Deco Dreams</t>
        </is>
      </c>
      <c r="D35" s="145" t="n"/>
      <c r="E35" s="146" t="n">
        <v>15000</v>
      </c>
      <c r="F35" s="147">
        <f>IFERROR(E35/E$58,0)</f>
        <v/>
      </c>
      <c r="G35" s="146" t="n">
        <v>15000</v>
      </c>
      <c r="H35" s="146" t="n">
        <v>7000</v>
      </c>
      <c r="I35" s="146">
        <f>IFERROR(G35-H35,0)</f>
        <v/>
      </c>
      <c r="J35" s="145" t="inlineStr">
        <is>
          <t>Anticipo pagado</t>
        </is>
      </c>
      <c r="K35" s="145" t="n"/>
    </row>
    <row r="36" ht="18" customHeight="1" s="107">
      <c r="A36" s="160" t="n">
        <v>25</v>
      </c>
      <c r="B36" s="160" t="inlineStr">
        <is>
          <t>🌸 Decoración &amp; Diseño</t>
        </is>
      </c>
      <c r="C36" s="160" t="inlineStr">
        <is>
          <t>Arreglos florales — Floral Art Studio</t>
        </is>
      </c>
      <c r="D36" s="160" t="n"/>
      <c r="E36" s="161" t="n">
        <v>8000</v>
      </c>
      <c r="F36" s="144">
        <f>IFERROR(E36/E$58,0)</f>
        <v/>
      </c>
      <c r="G36" s="161" t="n">
        <v>8000</v>
      </c>
      <c r="H36" s="161" t="n">
        <v>4000</v>
      </c>
      <c r="I36" s="161">
        <f>IFERROR(G36-H36,0)</f>
        <v/>
      </c>
      <c r="J36" s="160" t="inlineStr">
        <is>
          <t>Anticipo pagado</t>
        </is>
      </c>
      <c r="K36" s="160" t="n"/>
    </row>
    <row r="37" ht="18" customHeight="1" s="107">
      <c r="A37" s="145" t="n">
        <v>26</v>
      </c>
      <c r="B37" s="145" t="inlineStr">
        <is>
          <t>🌸 Decoración &amp; Diseño</t>
        </is>
      </c>
      <c r="C37" s="145" t="inlineStr">
        <is>
          <t>Iluminación ambiental — Luz &amp; Ambiente</t>
        </is>
      </c>
      <c r="D37" s="145" t="n"/>
      <c r="E37" s="146" t="n">
        <v>5000</v>
      </c>
      <c r="F37" s="147">
        <f>IFERROR(E37/E$58,0)</f>
        <v/>
      </c>
      <c r="G37" s="146" t="n">
        <v>5000</v>
      </c>
      <c r="H37" s="146" t="n">
        <v>2500</v>
      </c>
      <c r="I37" s="146">
        <f>IFERROR(G37-H37,0)</f>
        <v/>
      </c>
      <c r="J37" s="145" t="inlineStr">
        <is>
          <t>Anticipo pagado</t>
        </is>
      </c>
      <c r="K37" s="145" t="n"/>
    </row>
    <row r="38" ht="18" customHeight="1" s="107">
      <c r="A38" s="160" t="n">
        <v>27</v>
      </c>
      <c r="B38" s="160" t="inlineStr">
        <is>
          <t>🌸 Decoración &amp; Diseño</t>
        </is>
      </c>
      <c r="C38" s="160" t="inlineStr">
        <is>
          <t>Mantelería y vajilla — Rentas Elegance</t>
        </is>
      </c>
      <c r="D38" s="160" t="n"/>
      <c r="E38" s="161" t="n">
        <v>4000</v>
      </c>
      <c r="F38" s="144">
        <f>IFERROR(E38/E$58,0)</f>
        <v/>
      </c>
      <c r="G38" s="161" t="n">
        <v>4000</v>
      </c>
      <c r="H38" s="161" t="n">
        <v>0</v>
      </c>
      <c r="I38" s="161">
        <f>IFERROR(G38-H38,0)</f>
        <v/>
      </c>
      <c r="J38" s="160" t="inlineStr">
        <is>
          <t>Pendiente</t>
        </is>
      </c>
      <c r="K38" s="160" t="n"/>
    </row>
    <row r="39" ht="19.5" customHeight="1" s="107">
      <c r="A39" s="141" t="inlineStr">
        <is>
          <t xml:space="preserve">  💌 Papelería &amp; Diseño</t>
        </is>
      </c>
    </row>
    <row r="40" ht="18" customHeight="1" s="107">
      <c r="A40" s="145" t="n">
        <v>28</v>
      </c>
      <c r="B40" s="145" t="inlineStr">
        <is>
          <t>💌 Papelería &amp; Diseño</t>
        </is>
      </c>
      <c r="C40" s="145" t="inlineStr">
        <is>
          <t>Invitaciones físicas (200) — Imprenta Creativa</t>
        </is>
      </c>
      <c r="D40" s="145" t="n"/>
      <c r="E40" s="146" t="n">
        <v>3500</v>
      </c>
      <c r="F40" s="147">
        <f>IFERROR(E40/E$58,0)</f>
        <v/>
      </c>
      <c r="G40" s="146" t="n">
        <v>3500</v>
      </c>
      <c r="H40" s="146" t="n">
        <v>3500</v>
      </c>
      <c r="I40" s="146">
        <f>IFERROR(G40-H40,0)</f>
        <v/>
      </c>
      <c r="J40" s="145" t="inlineStr">
        <is>
          <t>Pagado</t>
        </is>
      </c>
      <c r="K40" s="145" t="n"/>
    </row>
    <row r="41" ht="18" customHeight="1" s="107">
      <c r="A41" s="160" t="n">
        <v>29</v>
      </c>
      <c r="B41" s="160" t="inlineStr">
        <is>
          <t>💌 Papelería &amp; Diseño</t>
        </is>
      </c>
      <c r="C41" s="160" t="inlineStr">
        <is>
          <t>Invitaciones digitales — Design Studio</t>
        </is>
      </c>
      <c r="D41" s="160" t="n"/>
      <c r="E41" s="161" t="n">
        <v>1500</v>
      </c>
      <c r="F41" s="144">
        <f>IFERROR(E41/E$58,0)</f>
        <v/>
      </c>
      <c r="G41" s="161" t="n">
        <v>1500</v>
      </c>
      <c r="H41" s="161" t="n">
        <v>1500</v>
      </c>
      <c r="I41" s="161">
        <f>IFERROR(G41-H41,0)</f>
        <v/>
      </c>
      <c r="J41" s="160" t="inlineStr">
        <is>
          <t>Pagado</t>
        </is>
      </c>
      <c r="K41" s="160" t="n"/>
    </row>
    <row r="42" ht="18" customHeight="1" s="107">
      <c r="A42" s="145" t="n">
        <v>30</v>
      </c>
      <c r="B42" s="145" t="inlineStr">
        <is>
          <t>💌 Papelería &amp; Diseño</t>
        </is>
      </c>
      <c r="C42" s="145" t="inlineStr">
        <is>
          <t>Señalética del evento — Design Studio</t>
        </is>
      </c>
      <c r="D42" s="145" t="n"/>
      <c r="E42" s="146" t="n">
        <v>1200</v>
      </c>
      <c r="F42" s="147">
        <f>IFERROR(E42/E$58,0)</f>
        <v/>
      </c>
      <c r="G42" s="146" t="n">
        <v>1200</v>
      </c>
      <c r="H42" s="146" t="n">
        <v>0</v>
      </c>
      <c r="I42" s="146">
        <f>IFERROR(G42-H42,0)</f>
        <v/>
      </c>
      <c r="J42" s="145" t="inlineStr">
        <is>
          <t>Pendiente</t>
        </is>
      </c>
      <c r="K42" s="145" t="n"/>
    </row>
    <row r="43" ht="19.5" customHeight="1" s="107">
      <c r="A43" s="141" t="inlineStr">
        <is>
          <t xml:space="preserve">  🚗 Transporte</t>
        </is>
      </c>
    </row>
    <row r="44" ht="18" customHeight="1" s="107">
      <c r="A44" s="160" t="n">
        <v>31</v>
      </c>
      <c r="B44" s="160" t="inlineStr">
        <is>
          <t>🚗 Transporte</t>
        </is>
      </c>
      <c r="C44" s="160" t="inlineStr">
        <is>
          <t>Transporte invitados (2 vans) — Trans VIP</t>
        </is>
      </c>
      <c r="D44" s="160" t="n"/>
      <c r="E44" s="161" t="n">
        <v>5000</v>
      </c>
      <c r="F44" s="144">
        <f>IFERROR(E44/E$58,0)</f>
        <v/>
      </c>
      <c r="G44" s="161" t="n">
        <v>5000</v>
      </c>
      <c r="H44" s="161" t="n">
        <v>2500</v>
      </c>
      <c r="I44" s="161">
        <f>IFERROR(G44-H44,0)</f>
        <v/>
      </c>
      <c r="J44" s="160" t="inlineStr">
        <is>
          <t>Anticipo pagado</t>
        </is>
      </c>
      <c r="K44" s="160" t="n"/>
    </row>
    <row r="45" ht="18" customHeight="1" s="107">
      <c r="A45" s="145" t="n">
        <v>32</v>
      </c>
      <c r="B45" s="145" t="inlineStr">
        <is>
          <t>🚗 Transporte</t>
        </is>
      </c>
      <c r="C45" s="145" t="inlineStr">
        <is>
          <t>Limusina novios — Limo Service MX</t>
        </is>
      </c>
      <c r="D45" s="145" t="n"/>
      <c r="E45" s="146" t="n">
        <v>4500</v>
      </c>
      <c r="F45" s="147">
        <f>IFERROR(E45/E$58,0)</f>
        <v/>
      </c>
      <c r="G45" s="146" t="n">
        <v>4500</v>
      </c>
      <c r="H45" s="146" t="n">
        <v>4500</v>
      </c>
      <c r="I45" s="146">
        <f>IFERROR(G45-H45,0)</f>
        <v/>
      </c>
      <c r="J45" s="145" t="inlineStr">
        <is>
          <t>Pagado</t>
        </is>
      </c>
      <c r="K45" s="145" t="n"/>
    </row>
    <row r="46" ht="19.5" customHeight="1" s="107">
      <c r="A46" s="141" t="inlineStr">
        <is>
          <t xml:space="preserve">  🧑 Staff Operativo</t>
        </is>
      </c>
    </row>
    <row r="47" ht="18" customHeight="1" s="107">
      <c r="A47" s="160" t="n">
        <v>33</v>
      </c>
      <c r="B47" s="160" t="inlineStr">
        <is>
          <t>🧑 Staff Operativo</t>
        </is>
      </c>
      <c r="C47" s="160" t="inlineStr">
        <is>
          <t>Meseros (10) — Staff Events</t>
        </is>
      </c>
      <c r="D47" s="160" t="n"/>
      <c r="E47" s="161" t="n">
        <v>8000</v>
      </c>
      <c r="F47" s="144">
        <f>IFERROR(E47/E$58,0)</f>
        <v/>
      </c>
      <c r="G47" s="161" t="n">
        <v>8000</v>
      </c>
      <c r="H47" s="161" t="n">
        <v>0</v>
      </c>
      <c r="I47" s="161">
        <f>IFERROR(G47-H47,0)</f>
        <v/>
      </c>
      <c r="J47" s="160" t="inlineStr">
        <is>
          <t>Pendiente</t>
        </is>
      </c>
      <c r="K47" s="160" t="n"/>
    </row>
    <row r="48" ht="18" customHeight="1" s="107">
      <c r="A48" s="145" t="n">
        <v>34</v>
      </c>
      <c r="B48" s="145" t="inlineStr">
        <is>
          <t>🧑 Staff Operativo</t>
        </is>
      </c>
      <c r="C48" s="145" t="inlineStr">
        <is>
          <t>Hostess (4) — Staff Events</t>
        </is>
      </c>
      <c r="D48" s="145" t="n"/>
      <c r="E48" s="146" t="n">
        <v>3200</v>
      </c>
      <c r="F48" s="147">
        <f>IFERROR(E48/E$58,0)</f>
        <v/>
      </c>
      <c r="G48" s="146" t="n">
        <v>3200</v>
      </c>
      <c r="H48" s="146" t="n">
        <v>0</v>
      </c>
      <c r="I48" s="146">
        <f>IFERROR(G48-H48,0)</f>
        <v/>
      </c>
      <c r="J48" s="145" t="inlineStr">
        <is>
          <t>Pendiente</t>
        </is>
      </c>
      <c r="K48" s="145" t="n"/>
    </row>
    <row r="49" ht="18" customHeight="1" s="107">
      <c r="A49" s="160" t="n">
        <v>35</v>
      </c>
      <c r="B49" s="160" t="inlineStr">
        <is>
          <t>🧑 Staff Operativo</t>
        </is>
      </c>
      <c r="C49" s="160" t="inlineStr">
        <is>
          <t>Coordinador día del evento — Primavera Events Group</t>
        </is>
      </c>
      <c r="D49" s="160" t="n"/>
      <c r="E49" s="161" t="n">
        <v>5000</v>
      </c>
      <c r="F49" s="144">
        <f>IFERROR(E49/E$58,0)</f>
        <v/>
      </c>
      <c r="G49" s="161" t="n">
        <v>5000</v>
      </c>
      <c r="H49" s="161" t="n">
        <v>5000</v>
      </c>
      <c r="I49" s="161">
        <f>IFERROR(G49-H49,0)</f>
        <v/>
      </c>
      <c r="J49" s="160" t="inlineStr">
        <is>
          <t>Pagado</t>
        </is>
      </c>
      <c r="K49" s="160" t="n"/>
    </row>
    <row r="50" ht="19.5" customHeight="1" s="107">
      <c r="A50" s="141" t="inlineStr">
        <is>
          <t xml:space="preserve">  🎁 Experiencia &amp; Extras</t>
        </is>
      </c>
    </row>
    <row r="51" ht="18" customHeight="1" s="107">
      <c r="A51" s="145" t="n">
        <v>36</v>
      </c>
      <c r="B51" s="145" t="inlineStr">
        <is>
          <t>🎁 Experiencia &amp; Extras</t>
        </is>
      </c>
      <c r="C51" s="145" t="inlineStr">
        <is>
          <t>Souvenirs (150) — Recuerdos MX</t>
        </is>
      </c>
      <c r="D51" s="145" t="n"/>
      <c r="E51" s="146" t="n">
        <v>4500</v>
      </c>
      <c r="F51" s="147">
        <f>IFERROR(E51/E$58,0)</f>
        <v/>
      </c>
      <c r="G51" s="146" t="n">
        <v>4500</v>
      </c>
      <c r="H51" s="146" t="n">
        <v>0</v>
      </c>
      <c r="I51" s="146">
        <f>IFERROR(G51-H51,0)</f>
        <v/>
      </c>
      <c r="J51" s="145" t="inlineStr">
        <is>
          <t>Pendiente</t>
        </is>
      </c>
      <c r="K51" s="145" t="n"/>
    </row>
    <row r="52" ht="18" customHeight="1" s="107">
      <c r="A52" s="160" t="n">
        <v>37</v>
      </c>
      <c r="B52" s="160" t="inlineStr">
        <is>
          <t>🎁 Experiencia &amp; Extras</t>
        </is>
      </c>
      <c r="C52" s="160" t="inlineStr">
        <is>
          <t>Letras gigantes LED — Deco Dreams</t>
        </is>
      </c>
      <c r="D52" s="160" t="n"/>
      <c r="E52" s="161" t="n">
        <v>2500</v>
      </c>
      <c r="F52" s="144">
        <f>IFERROR(E52/E$58,0)</f>
        <v/>
      </c>
      <c r="G52" s="161" t="n">
        <v>2500</v>
      </c>
      <c r="H52" s="161" t="n">
        <v>2500</v>
      </c>
      <c r="I52" s="161">
        <f>IFERROR(G52-H52,0)</f>
        <v/>
      </c>
      <c r="J52" s="160" t="inlineStr">
        <is>
          <t>Pagado</t>
        </is>
      </c>
      <c r="K52" s="160" t="n"/>
    </row>
    <row r="53" ht="18" customHeight="1" s="107">
      <c r="A53" s="145" t="n">
        <v>38</v>
      </c>
      <c r="B53" s="145" t="inlineStr">
        <is>
          <t>🎁 Experiencia &amp; Extras</t>
        </is>
      </c>
      <c r="C53" s="145" t="inlineStr">
        <is>
          <t>Fuegos artificiales fríos — Pirotecnia Arte</t>
        </is>
      </c>
      <c r="D53" s="145" t="n"/>
      <c r="E53" s="146" t="n">
        <v>3000</v>
      </c>
      <c r="F53" s="147">
        <f>IFERROR(E53/E$58,0)</f>
        <v/>
      </c>
      <c r="G53" s="146" t="n">
        <v>3000</v>
      </c>
      <c r="H53" s="146" t="n">
        <v>0</v>
      </c>
      <c r="I53" s="146">
        <f>IFERROR(G53-H53,0)</f>
        <v/>
      </c>
      <c r="J53" s="145" t="inlineStr">
        <is>
          <t>Pendiente</t>
        </is>
      </c>
      <c r="K53" s="145" t="n"/>
    </row>
    <row r="54" ht="19.5" customHeight="1" s="107">
      <c r="A54" s="141" t="inlineStr">
        <is>
          <t xml:space="preserve">  🧾 Administrativo</t>
        </is>
      </c>
    </row>
    <row r="55" ht="18" customHeight="1" s="107">
      <c r="A55" s="160" t="n">
        <v>39</v>
      </c>
      <c r="B55" s="160" t="inlineStr">
        <is>
          <t>🧾 Administrativo</t>
        </is>
      </c>
      <c r="C55" s="160" t="inlineStr">
        <is>
          <t>Seguro del evento — Seguros Eventos</t>
        </is>
      </c>
      <c r="D55" s="160" t="n"/>
      <c r="E55" s="161" t="n">
        <v>2000</v>
      </c>
      <c r="F55" s="144">
        <f>IFERROR(E55/E$58,0)</f>
        <v/>
      </c>
      <c r="G55" s="161" t="n">
        <v>2000</v>
      </c>
      <c r="H55" s="161" t="n">
        <v>2000</v>
      </c>
      <c r="I55" s="161">
        <f>IFERROR(G55-H55,0)</f>
        <v/>
      </c>
      <c r="J55" s="160" t="inlineStr">
        <is>
          <t>Pagado</t>
        </is>
      </c>
      <c r="K55" s="160" t="n"/>
    </row>
    <row r="56" ht="18" customHeight="1" s="107">
      <c r="A56" s="145" t="n">
        <v>40</v>
      </c>
      <c r="B56" s="145" t="inlineStr">
        <is>
          <t>🧾 Administrativo</t>
        </is>
      </c>
      <c r="C56" s="145" t="inlineStr">
        <is>
          <t>Gastos imprevistos — —</t>
        </is>
      </c>
      <c r="D56" s="145" t="n"/>
      <c r="E56" s="146" t="n">
        <v>5000</v>
      </c>
      <c r="F56" s="147">
        <f>IFERROR(E56/E$58,0)</f>
        <v/>
      </c>
      <c r="G56" s="146" t="n">
        <v>0</v>
      </c>
      <c r="H56" s="146" t="n">
        <v>0</v>
      </c>
      <c r="I56" s="146">
        <f>IFERROR(G56-H56,0)</f>
        <v/>
      </c>
      <c r="J56" s="145" t="inlineStr">
        <is>
          <t>Pendiente</t>
        </is>
      </c>
      <c r="K56" s="145" t="n"/>
    </row>
    <row r="57" ht="6" customHeight="1" s="107"/>
    <row r="58" ht="15" customHeight="1" s="107">
      <c r="A58" s="148" t="inlineStr">
        <is>
          <t>TOTALES GENERALES</t>
        </is>
      </c>
      <c r="B58" s="114" t="n"/>
      <c r="C58" s="114" t="n"/>
      <c r="D58" s="114" t="n"/>
      <c r="E58" s="149">
        <f>SUM(E4:E57)</f>
        <v/>
      </c>
      <c r="F58" s="150">
        <f>"100%"</f>
        <v/>
      </c>
      <c r="G58" s="149">
        <f>SUM(G4:G57)</f>
        <v/>
      </c>
      <c r="H58" s="149">
        <f>SUM(H4:H57)</f>
        <v/>
      </c>
      <c r="I58" s="149">
        <f>SUM(I4:I57)</f>
        <v/>
      </c>
    </row>
  </sheetData>
  <mergeCells count="16">
    <mergeCell ref="A2:L2"/>
    <mergeCell ref="A34:K34"/>
    <mergeCell ref="A50:K50"/>
    <mergeCell ref="A4:K4"/>
    <mergeCell ref="A58:D58"/>
    <mergeCell ref="A39:K39"/>
    <mergeCell ref="A54:K54"/>
    <mergeCell ref="A1:L1"/>
    <mergeCell ref="A43:K43"/>
    <mergeCell ref="A19:K19"/>
    <mergeCell ref="A46:K46"/>
    <mergeCell ref="A14:K14"/>
    <mergeCell ref="A23:K23"/>
    <mergeCell ref="A9:K9"/>
    <mergeCell ref="A27:K27"/>
    <mergeCell ref="A31:K31"/>
  </mergeCells>
  <dataValidations count="1">
    <dataValidation sqref="J5:J8 J10:J13 J15:J18 J20:J22 J24:J26 J28:J30 J32:J33 J35:J38 J40:J42 J44:J45 J47:J49 J51:J53 J55:J56" showDropDown="0" showInputMessage="0" showErrorMessage="0" allowBlank="1" type="list" errorStyle="stop" operator="between">
      <formula1>"Pendiente,Anticipo pagado,Pagado,Cancelado"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A9E7E"/>
    <outlinePr summaryBelow="1" summaryRight="1"/>
    <pageSetUpPr fitToPage="0"/>
  </sheetPr>
  <dimension ref="A1:J1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06" min="1" max="1"/>
    <col width="22" customWidth="1" style="106" min="2" max="2"/>
    <col width="30" customWidth="1" style="106" min="3" max="3"/>
    <col width="32" customWidth="1" style="106" min="4" max="4"/>
    <col width="15" customWidth="1" style="106" min="5" max="5"/>
    <col width="12" customWidth="1" style="106" min="6" max="6"/>
    <col width="13" customWidth="1" style="106" min="7" max="7"/>
    <col width="28" customWidth="1" style="106" min="8" max="8"/>
  </cols>
  <sheetData>
    <row r="1" ht="30" customHeight="1" s="107">
      <c r="A1" s="151" t="inlineStr">
        <is>
          <t>📦 CATÁLOGO COMPLETO DE SERVICIOS</t>
        </is>
      </c>
    </row>
    <row r="2" ht="18" customHeight="1" s="107">
      <c r="A2" s="139" t="inlineStr">
        <is>
          <t>Selecciona los servicios — se reflejarán en el presupuesto automáticamente</t>
        </is>
      </c>
    </row>
    <row r="3" ht="15" customHeight="1" s="107">
      <c r="A3" s="152" t="inlineStr">
        <is>
          <t>N°</t>
        </is>
      </c>
      <c r="B3" s="152" t="inlineStr">
        <is>
          <t>Categoría</t>
        </is>
      </c>
      <c r="C3" s="152" t="inlineStr">
        <is>
          <t>Servicio</t>
        </is>
      </c>
      <c r="D3" s="152" t="inlineStr">
        <is>
          <t>Descripción</t>
        </is>
      </c>
      <c r="E3" s="152" t="inlineStr">
        <is>
          <t>Costo Est. ($)</t>
        </is>
      </c>
      <c r="F3" s="152" t="inlineStr">
        <is>
          <t>Prioridad</t>
        </is>
      </c>
      <c r="G3" s="152" t="inlineStr">
        <is>
          <t>Seleccionado</t>
        </is>
      </c>
      <c r="H3" s="152" t="inlineStr">
        <is>
          <t>Notas</t>
        </is>
      </c>
    </row>
    <row r="4" ht="19.5" customHeight="1" s="107">
      <c r="A4" s="215" t="inlineStr">
        <is>
          <t xml:space="preserve">  Locacion &amp; Logistica</t>
        </is>
      </c>
      <c r="B4" s="216" t="n"/>
      <c r="C4" s="216" t="n"/>
      <c r="D4" s="216" t="n"/>
      <c r="E4" s="216" t="n"/>
      <c r="F4" s="216" t="n"/>
      <c r="G4" s="216" t="n"/>
      <c r="H4" s="216" t="n"/>
      <c r="I4" s="216" t="n"/>
    </row>
    <row r="5" ht="18" customHeight="1" s="107">
      <c r="A5" s="217" t="n">
        <v>1</v>
      </c>
      <c r="B5" s="218" t="inlineStr">
        <is>
          <t>Locacion &amp; Logistica</t>
        </is>
      </c>
      <c r="C5" s="218" t="inlineStr">
        <is>
          <t>Centro de Convenciones Presidente (Salón de Gala)</t>
        </is>
      </c>
      <c r="D5" s="218" t="inlineStr">
        <is>
          <t>Espacio premium de gran capacidad para bodas y XV años de gala.</t>
        </is>
      </c>
      <c r="E5" s="219" t="n">
        <v>111150</v>
      </c>
      <c r="F5" s="220" t="inlineStr">
        <is>
          <t>Alta</t>
        </is>
      </c>
      <c r="G5" s="217" t="inlineStr">
        <is>
          <t>—</t>
        </is>
      </c>
      <c r="H5" s="218">
        <f>HYPERLINK("https://primaveraeventsgroup.com/venues/","Ver Centro Presidente")</f>
        <v/>
      </c>
      <c r="I5" s="216" t="n"/>
    </row>
    <row r="6" ht="18" customHeight="1" s="107">
      <c r="A6" s="217" t="n">
        <v>2</v>
      </c>
      <c r="B6" s="218" t="inlineStr">
        <is>
          <t>Locacion &amp; Logistica</t>
        </is>
      </c>
      <c r="C6" s="218" t="inlineStr">
        <is>
          <t>Salón Primavera Events - Paquete Básico</t>
        </is>
      </c>
      <c r="D6" s="218" t="inlineStr">
        <is>
          <t>Salón cerrado oficial con equipamiento, mantelería de lujo y banquete básico.</t>
        </is>
      </c>
      <c r="E6" s="219" t="n">
        <v>52650</v>
      </c>
      <c r="F6" s="220" t="inlineStr">
        <is>
          <t>Alta</t>
        </is>
      </c>
      <c r="G6" s="217" t="inlineStr">
        <is>
          <t>—</t>
        </is>
      </c>
      <c r="H6" s="218">
        <f>HYPERLINK("https://primaveraeventsgroup.com/venues/","Ver Salón Primavera")</f>
        <v/>
      </c>
      <c r="I6" s="216" t="n"/>
    </row>
    <row r="7" ht="18" customHeight="1" s="107">
      <c r="A7" s="217" t="n">
        <v>3</v>
      </c>
      <c r="B7" s="218" t="inlineStr">
        <is>
          <t>Locacion &amp; Logistica</t>
        </is>
      </c>
      <c r="C7" s="218" t="inlineStr">
        <is>
          <t>Salón Primavera Events - Paquete Premium</t>
        </is>
      </c>
      <c r="D7" s="218" t="inlineStr">
        <is>
          <t>Salón oficial con banquete 3 tiempos, decoración floral y coordinación.</t>
        </is>
      </c>
      <c r="E7" s="219" t="n">
        <v>76050</v>
      </c>
      <c r="F7" s="220" t="inlineStr">
        <is>
          <t>Alta</t>
        </is>
      </c>
      <c r="G7" s="217" t="inlineStr">
        <is>
          <t>—</t>
        </is>
      </c>
      <c r="H7" s="218">
        <f>HYPERLINK("https://primaveraeventsgroup.com/venues/","Ver Salón Primavera")</f>
        <v/>
      </c>
      <c r="I7" s="216" t="n"/>
    </row>
    <row r="8" ht="18" customHeight="1" s="107">
      <c r="A8" s="217" t="n">
        <v>4</v>
      </c>
      <c r="B8" s="218" t="inlineStr">
        <is>
          <t>Locacion &amp; Logistica</t>
        </is>
      </c>
      <c r="C8" s="218" t="inlineStr">
        <is>
          <t>Salón Primavera Events - Paquete VIP</t>
        </is>
      </c>
      <c r="D8" s="218" t="inlineStr">
        <is>
          <t>Salón oficial todo incluido: banquete gala, dj, iluminación y coordinación total.</t>
        </is>
      </c>
      <c r="E8" s="219" t="n">
        <v>99450</v>
      </c>
      <c r="F8" s="220" t="inlineStr">
        <is>
          <t>Alta</t>
        </is>
      </c>
      <c r="G8" s="217" t="inlineStr">
        <is>
          <t>—</t>
        </is>
      </c>
      <c r="H8" s="218">
        <f>HYPERLINK("https://primaveraeventsgroup.com/venues/","Ver Salón Primavera")</f>
        <v/>
      </c>
      <c r="I8" s="216" t="n"/>
    </row>
    <row r="9" ht="18" customHeight="1" s="107">
      <c r="A9" s="217" t="n">
        <v>5</v>
      </c>
      <c r="B9" s="218" t="inlineStr">
        <is>
          <t>Locacion &amp; Logistica</t>
        </is>
      </c>
      <c r="C9" s="218" t="inlineStr">
        <is>
          <t>Salón Calesa Eventos - Paquete Básico</t>
        </is>
      </c>
      <c r="D9" s="218" t="inlineStr">
        <is>
          <t>Salón cerrado tradicional para banquetes y recepciones de gran prestigio.</t>
        </is>
      </c>
      <c r="E9" s="219" t="n">
        <v>46800</v>
      </c>
      <c r="F9" s="220" t="inlineStr">
        <is>
          <t>Alta</t>
        </is>
      </c>
      <c r="G9" s="217" t="inlineStr">
        <is>
          <t>—</t>
        </is>
      </c>
      <c r="H9" s="218">
        <f>HYPERLINK("https://primaveraeventsgroup.com/venues/","Ver Salón Calesa")</f>
        <v/>
      </c>
      <c r="I9" s="216" t="n"/>
    </row>
    <row r="10" ht="18" customHeight="1" s="107">
      <c r="A10" s="217" t="n">
        <v>6</v>
      </c>
      <c r="B10" s="218" t="inlineStr">
        <is>
          <t>Locacion &amp; Logistica</t>
        </is>
      </c>
      <c r="C10" s="218" t="inlineStr">
        <is>
          <t>Salón Calesa Eventos - Paquete Premium</t>
        </is>
      </c>
      <c r="D10" s="218" t="inlineStr">
        <is>
          <t>Salón cerrado tradicional con banquete de 3 tiempos y ambientación de gala.</t>
        </is>
      </c>
      <c r="E10" s="219" t="n">
        <v>70200</v>
      </c>
      <c r="F10" s="220" t="inlineStr">
        <is>
          <t>Alta</t>
        </is>
      </c>
      <c r="G10" s="217" t="inlineStr">
        <is>
          <t>—</t>
        </is>
      </c>
      <c r="H10" s="218">
        <f>HYPERLINK("https://primaveraeventsgroup.com/venues/","Ver Salón Calesa")</f>
        <v/>
      </c>
      <c r="I10" s="216" t="n"/>
    </row>
    <row r="11" ht="18" customHeight="1" s="107">
      <c r="A11" s="217" t="n">
        <v>7</v>
      </c>
      <c r="B11" s="218" t="inlineStr">
        <is>
          <t>Locacion &amp; Logistica</t>
        </is>
      </c>
      <c r="C11" s="218" t="inlineStr">
        <is>
          <t>Permisos municipales</t>
        </is>
      </c>
      <c r="D11" s="218" t="inlineStr">
        <is>
          <t>Trámites legales para el evento.</t>
        </is>
      </c>
      <c r="E11" s="219" t="n">
        <v>2000</v>
      </c>
      <c r="F11" s="220" t="inlineStr">
        <is>
          <t>Alta</t>
        </is>
      </c>
      <c r="G11" s="217" t="inlineStr">
        <is>
          <t>—</t>
        </is>
      </c>
      <c r="H11" s="218" t="inlineStr"/>
      <c r="I11" s="216" t="n"/>
    </row>
    <row r="12" ht="18" customHeight="1" s="107">
      <c r="A12" s="217" t="n">
        <v>8</v>
      </c>
      <c r="B12" s="218" t="inlineStr">
        <is>
          <t>Locacion &amp; Logistica</t>
        </is>
      </c>
      <c r="C12" s="218" t="inlineStr">
        <is>
          <t>Planta de luz / Generador</t>
        </is>
      </c>
      <c r="D12" s="218" t="inlineStr">
        <is>
          <t>Respaldo eléctrico garantizado.</t>
        </is>
      </c>
      <c r="E12" s="219" t="n">
        <v>3500</v>
      </c>
      <c r="F12" s="220" t="inlineStr">
        <is>
          <t>Alta</t>
        </is>
      </c>
      <c r="G12" s="217" t="inlineStr">
        <is>
          <t>—</t>
        </is>
      </c>
      <c r="H12" s="218" t="inlineStr"/>
      <c r="I12" s="216" t="n"/>
    </row>
    <row r="13" ht="18" customHeight="1" s="107">
      <c r="A13" s="217" t="n">
        <v>9</v>
      </c>
      <c r="B13" s="218" t="inlineStr">
        <is>
          <t>Locacion &amp; Logistica</t>
        </is>
      </c>
      <c r="C13" s="218" t="inlineStr">
        <is>
          <t>Sanitarios móviles</t>
        </is>
      </c>
      <c r="D13" s="218" t="inlineStr">
        <is>
          <t>Servicio de sanitarios portátiles de lujo.</t>
        </is>
      </c>
      <c r="E13" s="219" t="n">
        <v>2500</v>
      </c>
      <c r="F13" s="220" t="inlineStr">
        <is>
          <t>Media</t>
        </is>
      </c>
      <c r="G13" s="217" t="inlineStr">
        <is>
          <t>—</t>
        </is>
      </c>
      <c r="H13" s="218" t="inlineStr"/>
      <c r="I13" s="216" t="n"/>
    </row>
    <row r="14" ht="19.5" customHeight="1" s="107">
      <c r="A14" s="217" t="n">
        <v>10</v>
      </c>
      <c r="B14" s="218" t="inlineStr">
        <is>
          <t>Locacion &amp; Logistica</t>
        </is>
      </c>
      <c r="C14" s="218" t="inlineStr">
        <is>
          <t>Estacionamiento / Valet parking</t>
        </is>
      </c>
      <c r="D14" s="218" t="inlineStr">
        <is>
          <t>Servicio de estacionamiento para invitados.</t>
        </is>
      </c>
      <c r="E14" s="219" t="n">
        <v>5000</v>
      </c>
      <c r="F14" s="220" t="inlineStr">
        <is>
          <t>Media</t>
        </is>
      </c>
      <c r="G14" s="217" t="inlineStr">
        <is>
          <t>—</t>
        </is>
      </c>
      <c r="H14" s="218" t="inlineStr"/>
      <c r="I14" s="216" t="n"/>
    </row>
    <row r="15" ht="18" customHeight="1" s="107">
      <c r="A15" s="217" t="n">
        <v>11</v>
      </c>
      <c r="B15" s="218" t="inlineStr">
        <is>
          <t>Logistica</t>
        </is>
      </c>
      <c r="C15" s="218" t="inlineStr">
        <is>
          <t>Seguridad privada</t>
        </is>
      </c>
      <c r="D15" s="218" t="inlineStr">
        <is>
          <t>Personal de seguridad certificado para el evento.</t>
        </is>
      </c>
      <c r="E15" s="219" t="n">
        <v>4000</v>
      </c>
      <c r="F15" s="220" t="inlineStr">
        <is>
          <t>Alta</t>
        </is>
      </c>
      <c r="G15" s="217" t="inlineStr">
        <is>
          <t>—</t>
        </is>
      </c>
      <c r="H15" s="218" t="inlineStr"/>
      <c r="I15" s="216" t="n"/>
    </row>
    <row r="16" ht="18" customHeight="1" s="107">
      <c r="A16" s="217" t="n">
        <v>12</v>
      </c>
      <c r="B16" s="218" t="inlineStr">
        <is>
          <t>Logistica</t>
        </is>
      </c>
      <c r="C16" s="218" t="inlineStr">
        <is>
          <t>Protección civil</t>
        </is>
      </c>
      <c r="D16" s="218" t="inlineStr">
        <is>
          <t>Dictamen y requerimientos para eventos masivos.</t>
        </is>
      </c>
      <c r="E16" s="219" t="n">
        <v>1500</v>
      </c>
      <c r="F16" s="220" t="inlineStr">
        <is>
          <t>Alta</t>
        </is>
      </c>
      <c r="G16" s="217" t="inlineStr">
        <is>
          <t>—</t>
        </is>
      </c>
      <c r="H16" s="218" t="inlineStr"/>
      <c r="I16" s="216" t="n"/>
    </row>
    <row r="17" ht="18" customHeight="1" s="107">
      <c r="A17" s="215" t="inlineStr">
        <is>
          <t xml:space="preserve">  Banquete &amp; Bebidas</t>
        </is>
      </c>
      <c r="B17" s="216" t="n"/>
      <c r="C17" s="216" t="n"/>
      <c r="D17" s="216" t="n"/>
      <c r="E17" s="216" t="n"/>
      <c r="F17" s="216" t="n"/>
      <c r="G17" s="216" t="n"/>
      <c r="H17" s="216" t="n"/>
      <c r="I17" s="216" t="n"/>
    </row>
    <row r="18" ht="18" customHeight="1" s="107">
      <c r="A18" s="217" t="n">
        <v>13</v>
      </c>
      <c r="B18" s="218" t="inlineStr">
        <is>
          <t>Banquete &amp; Bebidas</t>
        </is>
      </c>
      <c r="C18" s="218" t="inlineStr">
        <is>
          <t>Banquetes Primavera - Gala 3 Tiempos</t>
        </is>
      </c>
      <c r="D18" s="218" t="inlineStr">
        <is>
          <t>Entrada, plato fuerte y postre. Vajilla, cristalería y servicio de gala.</t>
        </is>
      </c>
      <c r="E18" s="219" t="n">
        <v>40950</v>
      </c>
      <c r="F18" s="220" t="inlineStr">
        <is>
          <t>Alta</t>
        </is>
      </c>
      <c r="G18" s="217" t="inlineStr">
        <is>
          <t>—</t>
        </is>
      </c>
      <c r="H18" s="218">
        <f>HYPERLINK("https://primaveraeventsgroup.com/987509796-2/banquetes-primavera/","Ver Banquetes Primavera")</f>
        <v/>
      </c>
      <c r="I18" s="216" t="n"/>
    </row>
    <row r="19" ht="18" customHeight="1" s="107">
      <c r="A19" s="217" t="n">
        <v>14</v>
      </c>
      <c r="B19" s="218" t="inlineStr">
        <is>
          <t>Banquete &amp; Bebidas</t>
        </is>
      </c>
      <c r="C19" s="218" t="inlineStr">
        <is>
          <t>Banquetes Primavera - Buffet Especial</t>
        </is>
      </c>
      <c r="D19" s="218" t="inlineStr">
        <is>
          <t>Variedad de guisados de gala a libre servicio para tus invitados.</t>
        </is>
      </c>
      <c r="E19" s="219" t="n">
        <v>32760</v>
      </c>
      <c r="F19" s="220" t="inlineStr">
        <is>
          <t>Alta</t>
        </is>
      </c>
      <c r="G19" s="217" t="inlineStr">
        <is>
          <t>—</t>
        </is>
      </c>
      <c r="H19" s="218">
        <f>HYPERLINK("https://primaveraeventsgroup.com/987509796-2/banquetes-primavera/","Ver Banquetes Primavera")</f>
        <v/>
      </c>
      <c r="I19" s="216" t="n"/>
    </row>
    <row r="20" ht="18" customHeight="1" s="107">
      <c r="A20" s="217" t="n">
        <v>15</v>
      </c>
      <c r="B20" s="218" t="inlineStr">
        <is>
          <t>Banquete &amp; Bebidas</t>
        </is>
      </c>
      <c r="C20" s="218" t="inlineStr">
        <is>
          <t>Banquetes Primavera - Tornaboda Chilaquiles</t>
        </is>
      </c>
      <c r="D20" s="218" t="inlineStr">
        <is>
          <t>Chilaquiles rojos/verdes al cierre del evento (100 personas).</t>
        </is>
      </c>
      <c r="E20" s="219" t="n">
        <v>7020</v>
      </c>
      <c r="F20" s="220" t="inlineStr">
        <is>
          <t>Media</t>
        </is>
      </c>
      <c r="G20" s="217" t="inlineStr">
        <is>
          <t>—</t>
        </is>
      </c>
      <c r="H20" s="218">
        <f>HYPERLINK("https://primaveraeventsgroup.com/987509796-2/banquetes-primavera/","Ver Banquetes Primavera")</f>
        <v/>
      </c>
      <c r="I20" s="216" t="n"/>
    </row>
    <row r="21" ht="18" customHeight="1" s="107">
      <c r="A21" s="217" t="n">
        <v>16</v>
      </c>
      <c r="B21" s="218" t="inlineStr">
        <is>
          <t>Banquete &amp; Bebidas</t>
        </is>
      </c>
      <c r="C21" s="218" t="inlineStr">
        <is>
          <t>Mesa de postres</t>
        </is>
      </c>
      <c r="D21" s="218" t="inlineStr">
        <is>
          <t>Variedad de dulces y postres artesanales montados sobre mesa temática.</t>
        </is>
      </c>
      <c r="E21" s="219" t="n">
        <v>4500</v>
      </c>
      <c r="F21" s="220" t="inlineStr">
        <is>
          <t>Media</t>
        </is>
      </c>
      <c r="G21" s="217" t="inlineStr">
        <is>
          <t>—</t>
        </is>
      </c>
      <c r="H21" s="218" t="inlineStr"/>
      <c r="I21" s="216" t="n"/>
    </row>
    <row r="22" ht="18" customHeight="1" s="107">
      <c r="A22" s="217" t="n">
        <v>17</v>
      </c>
      <c r="B22" s="218" t="inlineStr">
        <is>
          <t>Banquete &amp; Bebidas</t>
        </is>
      </c>
      <c r="C22" s="218" t="inlineStr">
        <is>
          <t>Pastel de bodas/XV</t>
        </is>
      </c>
      <c r="D22" s="218" t="inlineStr">
        <is>
          <t>Pastel artístico o tradicional diseñado a medida.</t>
        </is>
      </c>
      <c r="E22" s="219" t="n">
        <v>8000</v>
      </c>
      <c r="F22" s="220" t="inlineStr">
        <is>
          <t>Alta</t>
        </is>
      </c>
      <c r="G22" s="217" t="inlineStr">
        <is>
          <t>—</t>
        </is>
      </c>
      <c r="H22" s="218" t="inlineStr"/>
      <c r="I22" s="216" t="n"/>
    </row>
    <row r="23" ht="18" customHeight="1" s="107">
      <c r="A23" s="217" t="n">
        <v>18</v>
      </c>
      <c r="B23" s="218" t="inlineStr">
        <is>
          <t>Banquete &amp; Bebidas</t>
        </is>
      </c>
      <c r="C23" s="218" t="inlineStr">
        <is>
          <t>Candy bar</t>
        </is>
      </c>
      <c r="D23" s="218" t="inlineStr">
        <is>
          <t>Barra de golosinas y dulces decorativa.</t>
        </is>
      </c>
      <c r="E23" s="219" t="n">
        <v>3500</v>
      </c>
      <c r="F23" s="220" t="inlineStr">
        <is>
          <t>Media</t>
        </is>
      </c>
      <c r="G23" s="217" t="inlineStr">
        <is>
          <t>—</t>
        </is>
      </c>
      <c r="H23" s="218" t="inlineStr"/>
      <c r="I23" s="216" t="n"/>
    </row>
    <row r="24" ht="18" customHeight="1" s="107">
      <c r="A24" s="217" t="n">
        <v>19</v>
      </c>
      <c r="B24" s="218" t="inlineStr">
        <is>
          <t>Banquete &amp; Bebidas</t>
        </is>
      </c>
      <c r="C24" s="218" t="inlineStr">
        <is>
          <t>Barra libre</t>
        </is>
      </c>
      <c r="D24" s="218" t="inlineStr">
        <is>
          <t>Bebidas nacionales ilimitadas durante 5 horas.</t>
        </is>
      </c>
      <c r="E24" s="219" t="n">
        <v>12000</v>
      </c>
      <c r="F24" s="220" t="inlineStr">
        <is>
          <t>Alta</t>
        </is>
      </c>
      <c r="G24" s="217" t="inlineStr">
        <is>
          <t>—</t>
        </is>
      </c>
      <c r="H24" s="218" t="inlineStr"/>
      <c r="I24" s="216" t="n"/>
    </row>
    <row r="25" ht="19.5" customHeight="1" s="107">
      <c r="A25" s="217" t="n">
        <v>20</v>
      </c>
      <c r="B25" s="218" t="inlineStr">
        <is>
          <t>Banquete &amp; Bebidas</t>
        </is>
      </c>
      <c r="C25" s="218" t="inlineStr">
        <is>
          <t>Mixología Primavera</t>
        </is>
      </c>
      <c r="D25" s="218" t="inlineStr">
        <is>
          <t>Cócteles artesanales y presentaciones con alcohol y sin alcohol.</t>
        </is>
      </c>
      <c r="E25" s="219" t="n">
        <v>5000</v>
      </c>
      <c r="F25" s="220" t="inlineStr">
        <is>
          <t>Media</t>
        </is>
      </c>
      <c r="G25" s="217" t="inlineStr">
        <is>
          <t>—</t>
        </is>
      </c>
      <c r="H25" s="218" t="inlineStr"/>
      <c r="I25" s="216" t="n"/>
    </row>
    <row r="26" ht="18" customHeight="1" s="107">
      <c r="A26" s="217" t="n">
        <v>21</v>
      </c>
      <c r="B26" s="218" t="inlineStr">
        <is>
          <t>Banquete &amp; Bebidas</t>
        </is>
      </c>
      <c r="C26" s="218" t="inlineStr">
        <is>
          <t>Paleteria La Princesa - Paquete 1</t>
        </is>
      </c>
      <c r="D26" s="218" t="inlineStr">
        <is>
          <t>Carrito personalizado con 150 mini paletas tradicionales de fruta natural.</t>
        </is>
      </c>
      <c r="E26" s="219" t="n">
        <v>1989</v>
      </c>
      <c r="F26" s="220" t="inlineStr">
        <is>
          <t>Media</t>
        </is>
      </c>
      <c r="G26" s="217" t="inlineStr">
        <is>
          <t>—</t>
        </is>
      </c>
      <c r="H26" s="218">
        <f>HYPERLINK("https://wa.me/527772141981","Pedir La Princesa")</f>
        <v/>
      </c>
      <c r="I26" s="216" t="n"/>
    </row>
    <row r="27" ht="18" customHeight="1" s="107">
      <c r="A27" s="217" t="n">
        <v>22</v>
      </c>
      <c r="B27" s="218" t="inlineStr">
        <is>
          <t>Banquete &amp; Bebidas</t>
        </is>
      </c>
      <c r="C27" s="218" t="inlineStr">
        <is>
          <t>Paleteria La Princesa - Paquete 2</t>
        </is>
      </c>
      <c r="D27" s="218" t="inlineStr">
        <is>
          <t>Servicio de Nieve y Helado artesanal de Michoacán para 100 personas.</t>
        </is>
      </c>
      <c r="E27" s="219" t="n">
        <v>4212</v>
      </c>
      <c r="F27" s="220" t="inlineStr">
        <is>
          <t>Media</t>
        </is>
      </c>
      <c r="G27" s="217" t="inlineStr">
        <is>
          <t>—</t>
        </is>
      </c>
      <c r="H27" s="218">
        <f>HYPERLINK("https://wa.me/527772141981","Pedir La Princesa")</f>
        <v/>
      </c>
      <c r="I27" s="216" t="n"/>
    </row>
    <row r="28" ht="18" customHeight="1" s="107">
      <c r="A28" s="217" t="n">
        <v>23</v>
      </c>
      <c r="B28" s="218" t="inlineStr">
        <is>
          <t>Banquete &amp; Bebidas</t>
        </is>
      </c>
      <c r="C28" s="218" t="inlineStr">
        <is>
          <t>Paleteria La Princesa - Paquete 3</t>
        </is>
      </c>
      <c r="D28" s="218" t="inlineStr">
        <is>
          <t>Servicio Mixto: 75 mini paletas + Helado/Nieve para 50 personas.</t>
        </is>
      </c>
      <c r="E28" s="219" t="n">
        <v>3042</v>
      </c>
      <c r="F28" s="220" t="inlineStr">
        <is>
          <t>Media</t>
        </is>
      </c>
      <c r="G28" s="217" t="inlineStr">
        <is>
          <t>—</t>
        </is>
      </c>
      <c r="H28" s="218">
        <f>HYPERLINK("https://wa.me/527772141981","Pedir La Princesa")</f>
        <v/>
      </c>
      <c r="I28" s="216" t="n"/>
    </row>
    <row r="29" ht="18" customHeight="1" s="107">
      <c r="A29" s="217" t="n">
        <v>24</v>
      </c>
      <c r="B29" s="218" t="inlineStr">
        <is>
          <t>Banquete &amp; Bebidas</t>
        </is>
      </c>
      <c r="C29" s="218" t="inlineStr">
        <is>
          <t>Tequila Don Ramón - Luis Miguel Plata</t>
        </is>
      </c>
      <c r="D29" s="218" t="inlineStr">
        <is>
          <t>Botella Cerámica Personalizada con grabado punta diamante (Plata).</t>
        </is>
      </c>
      <c r="E29" s="219" t="n">
        <v>6435</v>
      </c>
      <c r="F29" s="220" t="inlineStr">
        <is>
          <t>Alta</t>
        </is>
      </c>
      <c r="G29" s="217" t="inlineStr">
        <is>
          <t>—</t>
        </is>
      </c>
      <c r="H29" s="218">
        <f>HYPERLINK("https://wa.me/527771204557","Pedir Don Ramon")</f>
        <v/>
      </c>
      <c r="I29" s="216" t="n"/>
    </row>
    <row r="30" ht="18" customHeight="1" s="107">
      <c r="A30" s="217" t="n">
        <v>25</v>
      </c>
      <c r="B30" s="218" t="inlineStr">
        <is>
          <t>Banquete &amp; Bebidas</t>
        </is>
      </c>
      <c r="C30" s="218" t="inlineStr">
        <is>
          <t>Tequila Don Ramón - Luis Miguel Reposado</t>
        </is>
      </c>
      <c r="D30" s="218" t="inlineStr">
        <is>
          <t>Botella Cerámica Personalizada con grabado punta diamante (Reposado).</t>
        </is>
      </c>
      <c r="E30" s="219" t="n">
        <v>7465</v>
      </c>
      <c r="F30" s="220" t="inlineStr">
        <is>
          <t>Alta</t>
        </is>
      </c>
      <c r="G30" s="217" t="inlineStr">
        <is>
          <t>—</t>
        </is>
      </c>
      <c r="H30" s="218">
        <f>HYPERLINK("https://wa.me/527771204557","Pedir Don Ramon")</f>
        <v/>
      </c>
      <c r="I30" s="216" t="n"/>
    </row>
    <row r="31" ht="18" customHeight="1" s="107">
      <c r="A31" s="217" t="n">
        <v>26</v>
      </c>
      <c r="B31" s="218" t="inlineStr">
        <is>
          <t>Banquete &amp; Bebidas</t>
        </is>
      </c>
      <c r="C31" s="218" t="inlineStr">
        <is>
          <t>Tequila Don Ramón - Luis Miguel Añejo</t>
        </is>
      </c>
      <c r="D31" s="218" t="inlineStr">
        <is>
          <t>Botella Cerámica Personalizada con grabado punta diamante (Añejo).</t>
        </is>
      </c>
      <c r="E31" s="219" t="n">
        <v>8752</v>
      </c>
      <c r="F31" s="220" t="inlineStr">
        <is>
          <t>Alta</t>
        </is>
      </c>
      <c r="G31" s="217" t="inlineStr">
        <is>
          <t>—</t>
        </is>
      </c>
      <c r="H31" s="218">
        <f>HYPERLINK("https://wa.me/527771204557","Pedir Don Ramon")</f>
        <v/>
      </c>
      <c r="I31" s="216" t="n"/>
    </row>
    <row r="32" ht="18" customHeight="1" s="107">
      <c r="A32" s="217" t="n">
        <v>27</v>
      </c>
      <c r="B32" s="218" t="inlineStr">
        <is>
          <t>Banquete &amp; Bebidas</t>
        </is>
      </c>
      <c r="C32" s="218" t="inlineStr">
        <is>
          <t>Tequila Don Ramón - Swarovski Plata</t>
        </is>
      </c>
      <c r="D32" s="218" t="inlineStr">
        <is>
          <t>Edición Coleccionista con cristales incrustados (Plata).</t>
        </is>
      </c>
      <c r="E32" s="219" t="n">
        <v>9565</v>
      </c>
      <c r="F32" s="220" t="inlineStr">
        <is>
          <t>Alta</t>
        </is>
      </c>
      <c r="G32" s="217" t="inlineStr">
        <is>
          <t>—</t>
        </is>
      </c>
      <c r="H32" s="218">
        <f>HYPERLINK("https://wa.me/527771204557","Pedir Don Ramon")</f>
        <v/>
      </c>
      <c r="I32" s="216" t="n"/>
    </row>
    <row r="33" ht="18" customHeight="1" s="107">
      <c r="A33" s="217" t="n">
        <v>28</v>
      </c>
      <c r="B33" s="218" t="inlineStr">
        <is>
          <t>Banquete &amp; Bebidas</t>
        </is>
      </c>
      <c r="C33" s="218" t="inlineStr">
        <is>
          <t>Tequila Don Ramón - Swarovski Añejo</t>
        </is>
      </c>
      <c r="D33" s="218" t="inlineStr">
        <is>
          <t>Edición Coleccionista con cristales incrustados (Añejo).</t>
        </is>
      </c>
      <c r="E33" s="219" t="n">
        <v>10723</v>
      </c>
      <c r="F33" s="220" t="inlineStr">
        <is>
          <t>Alta</t>
        </is>
      </c>
      <c r="G33" s="217" t="inlineStr">
        <is>
          <t>—</t>
        </is>
      </c>
      <c r="H33" s="218">
        <f>HYPERLINK("https://wa.me/527771204557","Pedir Don Ramon")</f>
        <v/>
      </c>
      <c r="I33" s="216" t="n"/>
    </row>
    <row r="34" ht="18" customHeight="1" s="107">
      <c r="A34" s="217" t="n">
        <v>29</v>
      </c>
      <c r="B34" s="218" t="inlineStr">
        <is>
          <t>Banquete &amp; Bebidas</t>
        </is>
      </c>
      <c r="C34" s="218" t="inlineStr">
        <is>
          <t>Tequila Don Ramón - Swarovski Extra Añejo</t>
        </is>
      </c>
      <c r="D34" s="218" t="inlineStr">
        <is>
          <t>Edición Coleccionista con cristales incrustados (Extra Añejo).</t>
        </is>
      </c>
      <c r="E34" s="219" t="n">
        <v>12525</v>
      </c>
      <c r="F34" s="220" t="inlineStr">
        <is>
          <t>Alta</t>
        </is>
      </c>
      <c r="G34" s="217" t="inlineStr">
        <is>
          <t>—</t>
        </is>
      </c>
      <c r="H34" s="218">
        <f>HYPERLINK("https://wa.me/527771204557","Pedir Don Ramon")</f>
        <v/>
      </c>
      <c r="I34" s="216" t="n"/>
    </row>
    <row r="35" ht="18" customHeight="1" s="107">
      <c r="A35" s="215" t="inlineStr">
        <is>
          <t xml:space="preserve">  Entretenimiento</t>
        </is>
      </c>
      <c r="B35" s="216" t="n"/>
      <c r="C35" s="216" t="n"/>
      <c r="D35" s="216" t="n"/>
      <c r="E35" s="216" t="n"/>
      <c r="F35" s="216" t="n"/>
      <c r="G35" s="216" t="n"/>
      <c r="H35" s="216" t="n"/>
      <c r="I35" s="216" t="n"/>
    </row>
    <row r="36" ht="18" customHeight="1" s="107">
      <c r="A36" s="217" t="n">
        <v>30</v>
      </c>
      <c r="B36" s="218" t="inlineStr">
        <is>
          <t>Entretenimiento</t>
        </is>
      </c>
      <c r="C36" s="218" t="inlineStr">
        <is>
          <t>Scanner DJ - Paquete Básico</t>
        </is>
      </c>
      <c r="D36" s="218" t="inlineStr">
        <is>
          <t>DJ profesional, audio estándar e iluminación LED.</t>
        </is>
      </c>
      <c r="E36" s="219" t="n">
        <v>11700</v>
      </c>
      <c r="F36" s="220" t="inlineStr">
        <is>
          <t>Alta</t>
        </is>
      </c>
      <c r="G36" s="217" t="inlineStr">
        <is>
          <t>—</t>
        </is>
      </c>
      <c r="H36" s="218">
        <f>HYPERLINK("https://wa.me/527771992434","Pedir Scanner DJ")</f>
        <v/>
      </c>
      <c r="I36" s="216" t="n"/>
    </row>
    <row r="37" ht="18" customHeight="1" s="107">
      <c r="A37" s="217" t="n">
        <v>31</v>
      </c>
      <c r="B37" s="218" t="inlineStr">
        <is>
          <t>Entretenimiento</t>
        </is>
      </c>
      <c r="C37" s="218" t="inlineStr">
        <is>
          <t>Scanner DJ - Paquete Intermedio</t>
        </is>
      </c>
      <c r="D37" s="218" t="inlineStr">
        <is>
          <t>Audio premium, cabina de DJ iluminada y luces robóticas.</t>
        </is>
      </c>
      <c r="E37" s="219" t="n">
        <v>17550</v>
      </c>
      <c r="F37" s="220" t="inlineStr">
        <is>
          <t>Alta</t>
        </is>
      </c>
      <c r="G37" s="217" t="inlineStr">
        <is>
          <t>—</t>
        </is>
      </c>
      <c r="H37" s="218">
        <f>HYPERLINK("https://wa.me/527771992434","Pedir Scanner DJ")</f>
        <v/>
      </c>
      <c r="I37" s="216" t="n"/>
    </row>
    <row r="38" ht="19.5" customHeight="1" s="107">
      <c r="A38" s="217" t="n">
        <v>32</v>
      </c>
      <c r="B38" s="218" t="inlineStr">
        <is>
          <t>Entretenimiento</t>
        </is>
      </c>
      <c r="C38" s="218" t="inlineStr">
        <is>
          <t>Scanner DJ - Paquete Completo</t>
        </is>
      </c>
      <c r="D38" s="218" t="inlineStr">
        <is>
          <t>Mega producción de audio, pantallas y show de luces robotizadas.</t>
        </is>
      </c>
      <c r="E38" s="219" t="n">
        <v>23400</v>
      </c>
      <c r="F38" s="220" t="inlineStr">
        <is>
          <t>Alta</t>
        </is>
      </c>
      <c r="G38" s="217" t="inlineStr">
        <is>
          <t>—</t>
        </is>
      </c>
      <c r="H38" s="218">
        <f>HYPERLINK("https://wa.me/527771992434","Pedir Scanner DJ")</f>
        <v/>
      </c>
      <c r="I38" s="216" t="n"/>
    </row>
    <row r="39" ht="18" customHeight="1" s="107">
      <c r="A39" s="217" t="n">
        <v>33</v>
      </c>
      <c r="B39" s="218" t="inlineStr">
        <is>
          <t>Entretenimiento</t>
        </is>
      </c>
      <c r="C39" s="218" t="inlineStr">
        <is>
          <t>Corona Music - Paquete Mediano</t>
        </is>
      </c>
      <c r="D39" s="218" t="inlineStr">
        <is>
          <t>DJ, Iluminación profesional y audio de alta fidelidad.</t>
        </is>
      </c>
      <c r="E39" s="219" t="n">
        <v>10530</v>
      </c>
      <c r="F39" s="220" t="inlineStr">
        <is>
          <t>Alta</t>
        </is>
      </c>
      <c r="G39" s="217" t="inlineStr">
        <is>
          <t>—</t>
        </is>
      </c>
      <c r="H39" s="218">
        <f>HYPERLINK("https://wa.me/527774458481","Pedir Corona Music")</f>
        <v/>
      </c>
      <c r="I39" s="216" t="n"/>
    </row>
    <row r="40" ht="18" customHeight="1" s="107">
      <c r="A40" s="217" t="n">
        <v>34</v>
      </c>
      <c r="B40" s="218" t="inlineStr">
        <is>
          <t>Entretenimiento</t>
        </is>
      </c>
      <c r="C40" s="218" t="inlineStr">
        <is>
          <t>Corona Music - Paquete VIP</t>
        </is>
      </c>
      <c r="D40" s="218" t="inlineStr">
        <is>
          <t>Producción de audio premium, pantallas LED, cabina y pista iluminada.</t>
        </is>
      </c>
      <c r="E40" s="219" t="n">
        <v>18720</v>
      </c>
      <c r="F40" s="220" t="inlineStr">
        <is>
          <t>Alta</t>
        </is>
      </c>
      <c r="G40" s="217" t="inlineStr">
        <is>
          <t>—</t>
        </is>
      </c>
      <c r="H40" s="218">
        <f>HYPERLINK("https://wa.me/527774458481","Pedir Corona Music")</f>
        <v/>
      </c>
      <c r="I40" s="216" t="n"/>
    </row>
    <row r="41" ht="18" customHeight="1" s="107">
      <c r="A41" s="217" t="n">
        <v>35</v>
      </c>
      <c r="B41" s="218" t="inlineStr">
        <is>
          <t>Entretenimiento</t>
        </is>
      </c>
      <c r="C41" s="218" t="inlineStr">
        <is>
          <t>Mariachi Xiuhtepetl - Dos Horas</t>
        </is>
      </c>
      <c r="D41" s="218" t="inlineStr">
        <is>
          <t>Show de Mariachi tradicional completo con arpa en vivo (2 horas).</t>
        </is>
      </c>
      <c r="E41" s="219" t="n">
        <v>11115</v>
      </c>
      <c r="F41" s="220" t="inlineStr">
        <is>
          <t>Media</t>
        </is>
      </c>
      <c r="G41" s="217" t="inlineStr">
        <is>
          <t>—</t>
        </is>
      </c>
      <c r="H41" s="218">
        <f>HYPERLINK("https://wa.me/527771204557","Pedir Mariachi")</f>
        <v/>
      </c>
      <c r="I41" s="216" t="n"/>
    </row>
    <row r="42" ht="18" customHeight="1" s="107">
      <c r="A42" s="217" t="n">
        <v>36</v>
      </c>
      <c r="B42" s="218" t="inlineStr">
        <is>
          <t>Entretenimiento</t>
        </is>
      </c>
      <c r="C42" s="218" t="inlineStr">
        <is>
          <t>Mariachi Xiuhtepetl - Una Hora</t>
        </is>
      </c>
      <c r="D42" s="218" t="inlineStr">
        <is>
          <t>Show de Mariachi tradicional completo con arpa en vivo (1 hora).</t>
        </is>
      </c>
      <c r="E42" s="219" t="n">
        <v>5850</v>
      </c>
      <c r="F42" s="220" t="inlineStr">
        <is>
          <t>Media</t>
        </is>
      </c>
      <c r="G42" s="217" t="inlineStr">
        <is>
          <t>—</t>
        </is>
      </c>
      <c r="H42" s="218">
        <f>HYPERLINK("https://wa.me/527771204557","Pedir Mariachi")</f>
        <v/>
      </c>
      <c r="I42" s="216" t="n"/>
    </row>
    <row r="43" ht="18" customHeight="1" s="107">
      <c r="A43" s="217" t="n">
        <v>37</v>
      </c>
      <c r="B43" s="218" t="inlineStr">
        <is>
          <t>Entretenimiento</t>
        </is>
      </c>
      <c r="C43" s="218" t="inlineStr">
        <is>
          <t>Mariachi Xiuhtepetl - Set 45 Min</t>
        </is>
      </c>
      <c r="D43" s="218" t="inlineStr">
        <is>
          <t>Set rápido de 45 minutos ideal para cenas o recepciones.</t>
        </is>
      </c>
      <c r="E43" s="219" t="n">
        <v>5265</v>
      </c>
      <c r="F43" s="220" t="inlineStr">
        <is>
          <t>Media</t>
        </is>
      </c>
      <c r="G43" s="217" t="inlineStr">
        <is>
          <t>—</t>
        </is>
      </c>
      <c r="H43" s="218">
        <f>HYPERLINK("https://wa.me/527771204557","Pedir Mariachi")</f>
        <v/>
      </c>
      <c r="I43" s="216" t="n"/>
    </row>
    <row r="44" ht="18" customHeight="1" s="107">
      <c r="A44" s="217" t="n">
        <v>38</v>
      </c>
      <c r="B44" s="218" t="inlineStr">
        <is>
          <t>Entretenimiento</t>
        </is>
      </c>
      <c r="C44" s="218" t="inlineStr">
        <is>
          <t>Mariachi Xiuhtepetl - Serenata</t>
        </is>
      </c>
      <c r="D44" s="218" t="inlineStr">
        <is>
          <t>Serenata tradicional completa de 10 canciones.</t>
        </is>
      </c>
      <c r="E44" s="219" t="n">
        <v>4680</v>
      </c>
      <c r="F44" s="220" t="inlineStr">
        <is>
          <t>Media</t>
        </is>
      </c>
      <c r="G44" s="217" t="inlineStr">
        <is>
          <t>—</t>
        </is>
      </c>
      <c r="H44" s="218">
        <f>HYPERLINK("https://wa.me/527771204557","Pedir Mariachi")</f>
        <v/>
      </c>
      <c r="I44" s="216" t="n"/>
    </row>
    <row r="45" ht="19.5" customHeight="1" s="107">
      <c r="A45" s="217" t="n">
        <v>39</v>
      </c>
      <c r="B45" s="218" t="inlineStr">
        <is>
          <t>Entretenimiento</t>
        </is>
      </c>
      <c r="C45" s="218" t="inlineStr">
        <is>
          <t>Mariachi Xiuhtepetl - Serenata Corta</t>
        </is>
      </c>
      <c r="D45" s="218" t="inlineStr">
        <is>
          <t>Serenata corta de 5 canciones.</t>
        </is>
      </c>
      <c r="E45" s="219" t="n">
        <v>4095</v>
      </c>
      <c r="F45" s="220" t="inlineStr">
        <is>
          <t>Media</t>
        </is>
      </c>
      <c r="G45" s="217" t="inlineStr">
        <is>
          <t>—</t>
        </is>
      </c>
      <c r="H45" s="218">
        <f>HYPERLINK("https://wa.me/527771204557","Pedir Mariachi")</f>
        <v/>
      </c>
      <c r="I45" s="216" t="n"/>
    </row>
    <row r="46" ht="18" customHeight="1" s="107">
      <c r="A46" s="217" t="n">
        <v>40</v>
      </c>
      <c r="B46" s="218" t="inlineStr">
        <is>
          <t>Entretenimiento</t>
        </is>
      </c>
      <c r="C46" s="218" t="inlineStr">
        <is>
          <t>Saxofonista</t>
        </is>
      </c>
      <c r="D46" s="218" t="inlineStr">
        <is>
          <t>Música de saxofón en vivo para el banquete o cocktail.</t>
        </is>
      </c>
      <c r="E46" s="219" t="n">
        <v>3500</v>
      </c>
      <c r="F46" s="220" t="inlineStr">
        <is>
          <t>Media</t>
        </is>
      </c>
      <c r="G46" s="217" t="inlineStr">
        <is>
          <t>—</t>
        </is>
      </c>
      <c r="H46" s="218" t="inlineStr"/>
      <c r="I46" s="216" t="n"/>
    </row>
    <row r="47" ht="18" customHeight="1" s="107">
      <c r="A47" s="217" t="n">
        <v>41</v>
      </c>
      <c r="B47" s="218" t="inlineStr">
        <is>
          <t>Entretenimiento</t>
        </is>
      </c>
      <c r="C47" s="218" t="inlineStr">
        <is>
          <t>Violinista</t>
        </is>
      </c>
      <c r="D47" s="218" t="inlineStr">
        <is>
          <t>Música instrumental de violín para ceremonia o cena.</t>
        </is>
      </c>
      <c r="E47" s="219" t="n">
        <v>3000</v>
      </c>
      <c r="F47" s="220" t="inlineStr">
        <is>
          <t>Media</t>
        </is>
      </c>
      <c r="G47" s="217" t="inlineStr">
        <is>
          <t>—</t>
        </is>
      </c>
      <c r="H47" s="218" t="inlineStr"/>
      <c r="I47" s="216" t="n"/>
    </row>
    <row r="48" ht="18" customHeight="1" s="107">
      <c r="A48" s="217" t="n">
        <v>42</v>
      </c>
      <c r="B48" s="218" t="inlineStr">
        <is>
          <t>Entretenimiento</t>
        </is>
      </c>
      <c r="C48" s="218" t="inlineStr">
        <is>
          <t>Batucada</t>
        </is>
      </c>
      <c r="D48" s="218" t="inlineStr">
        <is>
          <t>Show interactivo de percusión con globos y antifaces.</t>
        </is>
      </c>
      <c r="E48" s="219" t="n">
        <v>5000</v>
      </c>
      <c r="F48" s="220" t="inlineStr">
        <is>
          <t>Media</t>
        </is>
      </c>
      <c r="G48" s="217" t="inlineStr">
        <is>
          <t>—</t>
        </is>
      </c>
      <c r="H48" s="218" t="inlineStr"/>
      <c r="I48" s="216" t="n"/>
    </row>
    <row r="49" ht="18" customHeight="1" s="107">
      <c r="A49" s="217" t="n">
        <v>43</v>
      </c>
      <c r="B49" s="218" t="inlineStr">
        <is>
          <t>Entretenimiento</t>
        </is>
      </c>
      <c r="C49" s="218" t="inlineStr">
        <is>
          <t>Cabina de fotos / Photo booth</t>
        </is>
      </c>
      <c r="D49" s="218" t="inlineStr">
        <is>
          <t>Fotos instantáneas con accesorios de diversión.</t>
        </is>
      </c>
      <c r="E49" s="219" t="n">
        <v>4500</v>
      </c>
      <c r="F49" s="220" t="inlineStr">
        <is>
          <t>Media</t>
        </is>
      </c>
      <c r="G49" s="217" t="inlineStr">
        <is>
          <t>—</t>
        </is>
      </c>
      <c r="H49" s="218" t="inlineStr"/>
      <c r="I49" s="216" t="n"/>
    </row>
    <row r="50" ht="18" customHeight="1" s="107">
      <c r="A50" s="215" t="inlineStr">
        <is>
          <t xml:space="preserve">  Foto &amp; Video</t>
        </is>
      </c>
      <c r="B50" s="216" t="n"/>
      <c r="C50" s="216" t="n"/>
      <c r="D50" s="216" t="n"/>
      <c r="E50" s="216" t="n"/>
      <c r="F50" s="216" t="n"/>
      <c r="G50" s="216" t="n"/>
      <c r="H50" s="216" t="n"/>
      <c r="I50" s="216" t="n"/>
    </row>
    <row r="51" ht="19.5" customHeight="1" s="107">
      <c r="A51" s="217" t="n">
        <v>44</v>
      </c>
      <c r="B51" s="218" t="inlineStr">
        <is>
          <t>Foto &amp; Video</t>
        </is>
      </c>
      <c r="C51" s="218" t="inlineStr">
        <is>
          <t>Licky Baut Photo - Cobertura Básica</t>
        </is>
      </c>
      <c r="D51" s="218" t="inlineStr">
        <is>
          <t>Cobertura de fotografía digital para ceremonia y banquete (5 horas).</t>
        </is>
      </c>
      <c r="E51" s="219" t="n">
        <v>9360</v>
      </c>
      <c r="F51" s="220" t="inlineStr">
        <is>
          <t>Alta</t>
        </is>
      </c>
      <c r="G51" s="217" t="inlineStr">
        <is>
          <t>—</t>
        </is>
      </c>
      <c r="H51" s="218">
        <f>HYPERLINK("https://wa.me/527772967139","Pedir Licky Baut")</f>
        <v/>
      </c>
      <c r="I51" s="216" t="n"/>
    </row>
    <row r="52" ht="18" customHeight="1" s="107">
      <c r="A52" s="217" t="n">
        <v>45</v>
      </c>
      <c r="B52" s="218" t="inlineStr">
        <is>
          <t>Foto &amp; Video</t>
        </is>
      </c>
      <c r="C52" s="218" t="inlineStr">
        <is>
          <t>Licky Baut Photo - Cinema VIP</t>
        </is>
      </c>
      <c r="D52" s="218" t="inlineStr">
        <is>
          <t>Fotografía profesional + video cinematográfico editado + drone (toda la gala).</t>
        </is>
      </c>
      <c r="E52" s="219" t="n">
        <v>21060</v>
      </c>
      <c r="F52" s="220" t="inlineStr">
        <is>
          <t>Alta</t>
        </is>
      </c>
      <c r="G52" s="217" t="inlineStr">
        <is>
          <t>—</t>
        </is>
      </c>
      <c r="H52" s="218">
        <f>HYPERLINK("https://wa.me/527772967139","Pedir Licky Baut")</f>
        <v/>
      </c>
      <c r="I52" s="216" t="n"/>
    </row>
    <row r="53" ht="18" customHeight="1" s="107">
      <c r="A53" s="217" t="n">
        <v>46</v>
      </c>
      <c r="B53" s="218" t="inlineStr">
        <is>
          <t>Foto &amp; Video</t>
        </is>
      </c>
      <c r="C53" s="218" t="inlineStr">
        <is>
          <t>Drone</t>
        </is>
      </c>
      <c r="D53" s="218" t="inlineStr">
        <is>
          <t>Tomas aéreas de video en alta definición de la locación y el evento.</t>
        </is>
      </c>
      <c r="E53" s="219" t="n">
        <v>4000</v>
      </c>
      <c r="F53" s="220" t="inlineStr">
        <is>
          <t>Media</t>
        </is>
      </c>
      <c r="G53" s="217" t="inlineStr">
        <is>
          <t>—</t>
        </is>
      </c>
      <c r="H53" s="218" t="inlineStr"/>
      <c r="I53" s="216" t="n"/>
    </row>
    <row r="54" ht="18" customHeight="1" s="107">
      <c r="A54" s="217" t="n">
        <v>47</v>
      </c>
      <c r="B54" s="218" t="inlineStr">
        <is>
          <t>Foto &amp; Video</t>
        </is>
      </c>
      <c r="C54" s="218" t="inlineStr">
        <is>
          <t>Same Day Edit</t>
        </is>
      </c>
      <c r="D54" s="218" t="inlineStr">
        <is>
          <t>Video resumen proyectado antes de finalizar el evento.</t>
        </is>
      </c>
      <c r="E54" s="219" t="n">
        <v>3000</v>
      </c>
      <c r="F54" s="220" t="inlineStr">
        <is>
          <t>Media</t>
        </is>
      </c>
      <c r="G54" s="217" t="inlineStr">
        <is>
          <t>—</t>
        </is>
      </c>
      <c r="H54" s="218" t="inlineStr"/>
      <c r="I54" s="216" t="n"/>
    </row>
    <row r="55" ht="18" customHeight="1" s="107">
      <c r="A55" s="217" t="n">
        <v>48</v>
      </c>
      <c r="B55" s="218" t="inlineStr">
        <is>
          <t>Foto &amp; Video</t>
        </is>
      </c>
      <c r="C55" s="218" t="inlineStr">
        <is>
          <t>Sesión pre-evento</t>
        </is>
      </c>
      <c r="D55" s="218" t="inlineStr">
        <is>
          <t>Sesión fotográfica artística previa para novios o quinceañera.</t>
        </is>
      </c>
      <c r="E55" s="219" t="n">
        <v>3500</v>
      </c>
      <c r="F55" s="220" t="inlineStr">
        <is>
          <t>Media</t>
        </is>
      </c>
      <c r="G55" s="217" t="inlineStr">
        <is>
          <t>—</t>
        </is>
      </c>
      <c r="H55" s="218" t="inlineStr"/>
      <c r="I55" s="216" t="n"/>
    </row>
    <row r="56" ht="18" customHeight="1" s="107">
      <c r="A56" s="217" t="n">
        <v>49</v>
      </c>
      <c r="B56" s="218" t="inlineStr">
        <is>
          <t>Foto &amp; Video</t>
        </is>
      </c>
      <c r="C56" s="218" t="inlineStr">
        <is>
          <t>Álbum impreso</t>
        </is>
      </c>
      <c r="D56" s="218" t="inlineStr">
        <is>
          <t>Álbum fotográfico profesional de pasta dura personalizado.</t>
        </is>
      </c>
      <c r="E56" s="219" t="n">
        <v>4500</v>
      </c>
      <c r="F56" s="220" t="inlineStr">
        <is>
          <t>Media</t>
        </is>
      </c>
      <c r="G56" s="217" t="inlineStr">
        <is>
          <t>—</t>
        </is>
      </c>
      <c r="H56" s="218" t="inlineStr"/>
      <c r="I56" s="216" t="n"/>
    </row>
    <row r="57" ht="18" customHeight="1" s="107">
      <c r="A57" s="215" t="inlineStr">
        <is>
          <t xml:space="preserve">  Belleza &amp; Imagen</t>
        </is>
      </c>
      <c r="B57" s="216" t="n"/>
      <c r="C57" s="216" t="n"/>
      <c r="D57" s="216" t="n"/>
      <c r="E57" s="216" t="n"/>
      <c r="F57" s="216" t="n"/>
      <c r="G57" s="216" t="n"/>
      <c r="H57" s="216" t="n"/>
      <c r="I57" s="216" t="n"/>
    </row>
    <row r="58" ht="18" customHeight="1" s="107">
      <c r="A58" s="217" t="n">
        <v>50</v>
      </c>
      <c r="B58" s="218" t="inlineStr">
        <is>
          <t>Belleza &amp; Imagen</t>
        </is>
      </c>
      <c r="C58" s="218" t="inlineStr">
        <is>
          <t>Andrea Lozano - Paquete Plus Novia</t>
        </is>
      </c>
      <c r="D58" s="218" t="inlineStr">
        <is>
          <t>Maquillaje aerógrafo en rostro, peinado, ampolleta de lifting e hidratación.</t>
        </is>
      </c>
      <c r="E58" s="219" t="n">
        <v>10413</v>
      </c>
      <c r="F58" s="220" t="inlineStr">
        <is>
          <t>Alta</t>
        </is>
      </c>
      <c r="G58" s="217" t="inlineStr">
        <is>
          <t>—</t>
        </is>
      </c>
      <c r="H58" s="218">
        <f>HYPERLINK("https://wa.me/527774587923","Pedir Andrea Lozano")</f>
        <v/>
      </c>
      <c r="I58" s="216" t="n"/>
    </row>
    <row r="59" ht="19.5" customHeight="1" s="107">
      <c r="A59" s="217" t="n">
        <v>51</v>
      </c>
      <c r="B59" s="218" t="inlineStr">
        <is>
          <t>Belleza &amp; Imagen</t>
        </is>
      </c>
      <c r="C59" s="218" t="inlineStr">
        <is>
          <t>Andrea Lozano - Paquete Power Novia</t>
        </is>
      </c>
      <c r="D59" s="218" t="inlineStr">
        <is>
          <t>Maquillaje aerógrafo profesional y peinado de gala con tocado.</t>
        </is>
      </c>
      <c r="E59" s="219" t="n">
        <v>9009</v>
      </c>
      <c r="F59" s="220" t="inlineStr">
        <is>
          <t>Alta</t>
        </is>
      </c>
      <c r="G59" s="217" t="inlineStr">
        <is>
          <t>—</t>
        </is>
      </c>
      <c r="H59" s="218">
        <f>HYPERLINK("https://wa.me/527774587923","Pedir Andrea Lozano")</f>
        <v/>
      </c>
      <c r="I59" s="216" t="n"/>
    </row>
    <row r="60" ht="18" customHeight="1" s="107">
      <c r="A60" s="217" t="n">
        <v>52</v>
      </c>
      <c r="B60" s="218" t="inlineStr">
        <is>
          <t>Belleza &amp; Imagen</t>
        </is>
      </c>
      <c r="C60" s="218" t="inlineStr">
        <is>
          <t>Andrea Lozano - Paquete Básico Novia</t>
        </is>
      </c>
      <c r="D60" s="218" t="inlineStr">
        <is>
          <t>Maquillaje tradicional con pestañas y peinado profesional.</t>
        </is>
      </c>
      <c r="E60" s="219" t="n">
        <v>8424</v>
      </c>
      <c r="F60" s="220" t="inlineStr">
        <is>
          <t>Alta</t>
        </is>
      </c>
      <c r="G60" s="217" t="inlineStr">
        <is>
          <t>—</t>
        </is>
      </c>
      <c r="H60" s="218">
        <f>HYPERLINK("https://wa.me/527774587923","Pedir Andrea Lozano")</f>
        <v/>
      </c>
      <c r="I60" s="216" t="n"/>
    </row>
    <row r="61" ht="18" customHeight="1" s="107">
      <c r="A61" s="217" t="n">
        <v>53</v>
      </c>
      <c r="B61" s="218" t="inlineStr">
        <is>
          <t>Belleza &amp; Imagen</t>
        </is>
      </c>
      <c r="C61" s="218" t="inlineStr">
        <is>
          <t>Andrea Lozano - Maquillaje Aerógrafo Novia Ind</t>
        </is>
      </c>
      <c r="D61" s="218" t="inlineStr">
        <is>
          <t>Maquillaje aerógrafo individual para novia/quinceañera.</t>
        </is>
      </c>
      <c r="E61" s="219" t="n">
        <v>2960</v>
      </c>
      <c r="F61" s="220" t="inlineStr">
        <is>
          <t>Media</t>
        </is>
      </c>
      <c r="G61" s="217" t="inlineStr">
        <is>
          <t>—</t>
        </is>
      </c>
      <c r="H61" s="218">
        <f>HYPERLINK("https://wa.me/527774587923","Pedir Andrea Lozano")</f>
        <v/>
      </c>
      <c r="I61" s="216" t="n"/>
    </row>
    <row r="62" ht="18" customHeight="1" s="107">
      <c r="A62" s="217" t="n">
        <v>54</v>
      </c>
      <c r="B62" s="218" t="inlineStr">
        <is>
          <t>Belleza &amp; Imagen</t>
        </is>
      </c>
      <c r="C62" s="218" t="inlineStr">
        <is>
          <t>Andrea Lozano - Maquillaje Tradicional Novia Ind</t>
        </is>
      </c>
      <c r="D62" s="218" t="inlineStr">
        <is>
          <t>Maquillaje tradicional individual para novia/quinceañera.</t>
        </is>
      </c>
      <c r="E62" s="219" t="n">
        <v>2831</v>
      </c>
      <c r="F62" s="220" t="inlineStr">
        <is>
          <t>Media</t>
        </is>
      </c>
      <c r="G62" s="217" t="inlineStr">
        <is>
          <t>—</t>
        </is>
      </c>
      <c r="H62" s="218">
        <f>HYPERLINK("https://wa.me/527774587923","Pedir Andrea Lozano")</f>
        <v/>
      </c>
      <c r="I62" s="216" t="n"/>
    </row>
    <row r="63" ht="18" customHeight="1" s="107">
      <c r="A63" s="217" t="n">
        <v>55</v>
      </c>
      <c r="B63" s="218" t="inlineStr">
        <is>
          <t>Belleza &amp; Imagen</t>
        </is>
      </c>
      <c r="C63" s="218" t="inlineStr">
        <is>
          <t>Andrea Lozano - Peinado Novia Individual</t>
        </is>
      </c>
      <c r="D63" s="218" t="inlineStr">
        <is>
          <t>Peinado de novia individual con colocación de tocado y velo.</t>
        </is>
      </c>
      <c r="E63" s="219" t="n">
        <v>2457</v>
      </c>
      <c r="F63" s="220" t="inlineStr">
        <is>
          <t>Media</t>
        </is>
      </c>
      <c r="G63" s="217" t="inlineStr">
        <is>
          <t>—</t>
        </is>
      </c>
      <c r="H63" s="218">
        <f>HYPERLINK("https://wa.me/527774587923","Pedir Andrea Lozano")</f>
        <v/>
      </c>
      <c r="I63" s="216" t="n"/>
    </row>
    <row r="64" ht="18" customHeight="1" s="107">
      <c r="A64" s="217" t="n">
        <v>56</v>
      </c>
      <c r="B64" s="218" t="inlineStr">
        <is>
          <t>Belleza &amp; Imagen</t>
        </is>
      </c>
      <c r="C64" s="218" t="inlineStr">
        <is>
          <t>Andrea Lozano - Peinado + Aero Invitadas</t>
        </is>
      </c>
      <c r="D64" s="218" t="inlineStr">
        <is>
          <t>Servicio a domicilio de peinado y maquillaje aerógrafo para acompañantes.</t>
        </is>
      </c>
      <c r="E64" s="219" t="n">
        <v>2867</v>
      </c>
      <c r="F64" s="220" t="inlineStr">
        <is>
          <t>Media</t>
        </is>
      </c>
      <c r="G64" s="217" t="inlineStr">
        <is>
          <t>—</t>
        </is>
      </c>
      <c r="H64" s="218">
        <f>HYPERLINK("https://wa.me/527774587923","Pedir Andrea Lozano")</f>
        <v/>
      </c>
      <c r="I64" s="216" t="n"/>
    </row>
    <row r="65" ht="19.5" customHeight="1" s="107">
      <c r="A65" s="217" t="n">
        <v>57</v>
      </c>
      <c r="B65" s="218" t="inlineStr">
        <is>
          <t>Belleza &amp; Imagen</t>
        </is>
      </c>
      <c r="C65" s="218" t="inlineStr">
        <is>
          <t>Andrea Lozano - Peinado + Tradicional Invitadas</t>
        </is>
      </c>
      <c r="D65" s="218" t="inlineStr">
        <is>
          <t>Servicio a domicilio de peinado y maquillaje tradicional para acompañantes.</t>
        </is>
      </c>
      <c r="E65" s="219" t="n">
        <v>2574</v>
      </c>
      <c r="F65" s="220" t="inlineStr">
        <is>
          <t>Media</t>
        </is>
      </c>
      <c r="G65" s="217" t="inlineStr">
        <is>
          <t>—</t>
        </is>
      </c>
      <c r="H65" s="218">
        <f>HYPERLINK("https://wa.me/527774587923","Pedir Andrea Lozano")</f>
        <v/>
      </c>
      <c r="I65" s="216" t="n"/>
    </row>
    <row r="66" ht="18" customHeight="1" s="107">
      <c r="A66" s="217" t="n">
        <v>58</v>
      </c>
      <c r="B66" s="218" t="inlineStr">
        <is>
          <t>Belleza &amp; Imagen</t>
        </is>
      </c>
      <c r="C66" s="218" t="inlineStr">
        <is>
          <t>Barbero (novio)</t>
        </is>
      </c>
      <c r="D66" s="218" t="inlineStr">
        <is>
          <t>Corte y arreglo de barba profesional para el novio el gran día.</t>
        </is>
      </c>
      <c r="E66" s="219" t="n">
        <v>800</v>
      </c>
      <c r="F66" s="220" t="inlineStr">
        <is>
          <t>Media</t>
        </is>
      </c>
      <c r="G66" s="217" t="inlineStr">
        <is>
          <t>—</t>
        </is>
      </c>
      <c r="H66" s="218" t="inlineStr"/>
      <c r="I66" s="216" t="n"/>
    </row>
    <row r="67" ht="18" customHeight="1" s="107">
      <c r="A67" s="217" t="n">
        <v>59</v>
      </c>
      <c r="B67" s="218" t="inlineStr">
        <is>
          <t>Belleza &amp; Imagen</t>
        </is>
      </c>
      <c r="C67" s="218" t="inlineStr">
        <is>
          <t>Spa / Tratamientos previos</t>
        </is>
      </c>
      <c r="D67" s="218" t="inlineStr">
        <is>
          <t>Sesiones faciales y de relajación pre-boda.</t>
        </is>
      </c>
      <c r="E67" s="219" t="n">
        <v>2500</v>
      </c>
      <c r="F67" s="220" t="inlineStr">
        <is>
          <t>Media</t>
        </is>
      </c>
      <c r="G67" s="217" t="inlineStr">
        <is>
          <t>—</t>
        </is>
      </c>
      <c r="H67" s="218" t="inlineStr"/>
      <c r="I67" s="216" t="n"/>
    </row>
    <row r="68" ht="18" customHeight="1" s="107">
      <c r="A68" s="215" t="inlineStr">
        <is>
          <t xml:space="preserve">  Vestuario</t>
        </is>
      </c>
      <c r="B68" s="216" t="n"/>
      <c r="C68" s="216" t="n"/>
      <c r="D68" s="216" t="n"/>
      <c r="E68" s="216" t="n"/>
      <c r="F68" s="216" t="n"/>
      <c r="G68" s="216" t="n"/>
      <c r="H68" s="216" t="n"/>
      <c r="I68" s="216" t="n"/>
    </row>
    <row r="69" ht="18" customHeight="1" s="107">
      <c r="A69" s="217" t="n">
        <v>60</v>
      </c>
      <c r="B69" s="218" t="inlineStr">
        <is>
          <t>Vestuario</t>
        </is>
      </c>
      <c r="C69" s="218" t="inlineStr">
        <is>
          <t>Vestido de novia / XV</t>
        </is>
      </c>
      <c r="D69" s="218" t="inlineStr">
        <is>
          <t>Vestido de gala principal seleccionado.</t>
        </is>
      </c>
      <c r="E69" s="219" t="n">
        <v>18000</v>
      </c>
      <c r="F69" s="220" t="inlineStr">
        <is>
          <t>Alta</t>
        </is>
      </c>
      <c r="G69" s="217" t="inlineStr">
        <is>
          <t>—</t>
        </is>
      </c>
      <c r="H69" s="218" t="inlineStr"/>
      <c r="I69" s="216" t="n"/>
    </row>
    <row r="70" ht="18" customHeight="1" s="107">
      <c r="A70" s="217" t="n">
        <v>61</v>
      </c>
      <c r="B70" s="218" t="inlineStr">
        <is>
          <t>Vestuario</t>
        </is>
      </c>
      <c r="C70" s="218" t="inlineStr">
        <is>
          <t>Traje del novio</t>
        </is>
      </c>
      <c r="D70" s="218" t="inlineStr">
        <is>
          <t>Traje sastre o smoking premium.</t>
        </is>
      </c>
      <c r="E70" s="219" t="n">
        <v>6000</v>
      </c>
      <c r="F70" s="220" t="inlineStr">
        <is>
          <t>Alta</t>
        </is>
      </c>
      <c r="G70" s="217" t="inlineStr">
        <is>
          <t>—</t>
        </is>
      </c>
      <c r="H70" s="218" t="inlineStr"/>
      <c r="I70" s="216" t="n"/>
    </row>
    <row r="71" ht="18" customHeight="1" s="107">
      <c r="A71" s="217" t="n">
        <v>62</v>
      </c>
      <c r="B71" s="218" t="inlineStr">
        <is>
          <t>Vestuario</t>
        </is>
      </c>
      <c r="C71" s="218" t="inlineStr">
        <is>
          <t>Vestidos de damas</t>
        </is>
      </c>
      <c r="D71" s="218" t="inlineStr">
        <is>
          <t>Lote de vestidos para las damas de honor.</t>
        </is>
      </c>
      <c r="E71" s="219" t="n">
        <v>7500</v>
      </c>
      <c r="F71" s="220" t="inlineStr">
        <is>
          <t>Media</t>
        </is>
      </c>
      <c r="G71" s="217" t="inlineStr">
        <is>
          <t>—</t>
        </is>
      </c>
      <c r="H71" s="218" t="inlineStr"/>
      <c r="I71" s="216" t="n"/>
    </row>
    <row r="72" ht="18" customHeight="1" s="107">
      <c r="A72" s="217" t="n">
        <v>63</v>
      </c>
      <c r="B72" s="218" t="inlineStr">
        <is>
          <t>Vestuario</t>
        </is>
      </c>
      <c r="C72" s="218" t="inlineStr">
        <is>
          <t>Renta de smoking</t>
        </is>
      </c>
      <c r="D72" s="218" t="inlineStr">
        <is>
          <t>Smoking para los chambelanes o familiares.</t>
        </is>
      </c>
      <c r="E72" s="219" t="n">
        <v>3000</v>
      </c>
      <c r="F72" s="220" t="inlineStr">
        <is>
          <t>Media</t>
        </is>
      </c>
      <c r="G72" s="217" t="inlineStr">
        <is>
          <t>—</t>
        </is>
      </c>
      <c r="H72" s="218" t="inlineStr"/>
      <c r="I72" s="216" t="n"/>
    </row>
    <row r="73" ht="18" customHeight="1" s="107">
      <c r="A73" s="217" t="n">
        <v>64</v>
      </c>
      <c r="B73" s="218" t="inlineStr">
        <is>
          <t>Vestuario</t>
        </is>
      </c>
      <c r="C73" s="218" t="inlineStr">
        <is>
          <t>Accesorios (velo, tiara, etc.)</t>
        </is>
      </c>
      <c r="D73" s="218" t="inlineStr">
        <is>
          <t>Accesorios de novia/quinceañera.</t>
        </is>
      </c>
      <c r="E73" s="219" t="n">
        <v>2500</v>
      </c>
      <c r="F73" s="220" t="inlineStr">
        <is>
          <t>Media</t>
        </is>
      </c>
      <c r="G73" s="217" t="inlineStr">
        <is>
          <t>—</t>
        </is>
      </c>
      <c r="H73" s="218" t="inlineStr"/>
      <c r="I73" s="216" t="n"/>
    </row>
    <row r="74" ht="18" customHeight="1" s="107">
      <c r="A74" s="217" t="n">
        <v>65</v>
      </c>
      <c r="B74" s="218" t="inlineStr">
        <is>
          <t>Vestuario</t>
        </is>
      </c>
      <c r="C74" s="218" t="inlineStr">
        <is>
          <t>Zapatos</t>
        </is>
      </c>
      <c r="D74" s="218" t="inlineStr">
        <is>
          <t>Calzado especial cómodo y de gala.</t>
        </is>
      </c>
      <c r="E74" s="219" t="n">
        <v>2000</v>
      </c>
      <c r="F74" s="220" t="inlineStr">
        <is>
          <t>Media</t>
        </is>
      </c>
      <c r="G74" s="217" t="inlineStr">
        <is>
          <t>—</t>
        </is>
      </c>
      <c r="H74" s="218" t="inlineStr"/>
      <c r="I74" s="216" t="n"/>
    </row>
    <row r="75" ht="18" customHeight="1" s="107">
      <c r="A75" s="215" t="inlineStr">
        <is>
          <t xml:space="preserve">  Coreografia &amp; Show</t>
        </is>
      </c>
      <c r="B75" s="216" t="n"/>
      <c r="C75" s="216" t="n"/>
      <c r="D75" s="216" t="n"/>
      <c r="E75" s="216" t="n"/>
      <c r="F75" s="216" t="n"/>
      <c r="G75" s="216" t="n"/>
      <c r="H75" s="216" t="n"/>
      <c r="I75" s="216" t="n"/>
    </row>
    <row r="76" ht="19.5" customHeight="1" s="107">
      <c r="A76" s="217" t="n">
        <v>66</v>
      </c>
      <c r="B76" s="218" t="inlineStr">
        <is>
          <t>Coreografia &amp; Show</t>
        </is>
      </c>
      <c r="C76" s="218" t="inlineStr">
        <is>
          <t>Dance Queens - Paquete Vals Básico</t>
        </is>
      </c>
      <c r="D76" s="218" t="inlineStr">
        <is>
          <t>Coreografía oficial del vals, 6 clases de ensayo y copas decoradas de regalo.</t>
        </is>
      </c>
      <c r="E76" s="219" t="n">
        <v>7605</v>
      </c>
      <c r="F76" s="220" t="inlineStr">
        <is>
          <t>Alta</t>
        </is>
      </c>
      <c r="G76" s="217" t="inlineStr">
        <is>
          <t>—</t>
        </is>
      </c>
      <c r="H76" s="218">
        <f>HYPERLINK("https://wa.me/527772994425","Pedir Dance Queens")</f>
        <v/>
      </c>
      <c r="I76" s="216" t="n"/>
    </row>
    <row r="77" ht="18" customHeight="1" s="107">
      <c r="A77" s="217" t="n">
        <v>67</v>
      </c>
      <c r="B77" s="218" t="inlineStr">
        <is>
          <t>Coreografia &amp; Show</t>
        </is>
      </c>
      <c r="C77" s="218" t="inlineStr">
        <is>
          <t>Dance Queens - Paquete Vals VIP</t>
        </is>
      </c>
      <c r="D77" s="218" t="inlineStr">
        <is>
          <t>Coreografía Vals, moderna y show con pirotecnia fría e hidrogel led (10 clases).</t>
        </is>
      </c>
      <c r="E77" s="219" t="n">
        <v>11115</v>
      </c>
      <c r="F77" s="220" t="inlineStr">
        <is>
          <t>Alta</t>
        </is>
      </c>
      <c r="G77" s="217" t="inlineStr">
        <is>
          <t>—</t>
        </is>
      </c>
      <c r="H77" s="218">
        <f>HYPERLINK("https://wa.me/527772994425","Pedir Dance Queens")</f>
        <v/>
      </c>
      <c r="I77" s="216" t="n"/>
    </row>
    <row r="78" ht="18" customHeight="1" s="107">
      <c r="A78" s="217" t="n">
        <v>68</v>
      </c>
      <c r="B78" s="218" t="inlineStr">
        <is>
          <t>Coreografia &amp; Show</t>
        </is>
      </c>
      <c r="C78" s="218" t="inlineStr">
        <is>
          <t>Ensayos grupales extras</t>
        </is>
      </c>
      <c r="D78" s="218" t="inlineStr">
        <is>
          <t>Clases adicionales para repasar pasos y sincronización.</t>
        </is>
      </c>
      <c r="E78" s="219" t="n">
        <v>1500</v>
      </c>
      <c r="F78" s="220" t="inlineStr">
        <is>
          <t>Alta</t>
        </is>
      </c>
      <c r="G78" s="217" t="inlineStr">
        <is>
          <t>—</t>
        </is>
      </c>
      <c r="H78" s="218" t="inlineStr"/>
      <c r="I78" s="216" t="n"/>
    </row>
    <row r="79" ht="18" customHeight="1" s="107">
      <c r="A79" s="215" t="inlineStr">
        <is>
          <t xml:space="preserve">  Decoracion &amp; Diseno</t>
        </is>
      </c>
      <c r="B79" s="216" t="n"/>
      <c r="C79" s="216" t="n"/>
      <c r="D79" s="216" t="n"/>
      <c r="E79" s="216" t="n"/>
      <c r="F79" s="216" t="n"/>
      <c r="G79" s="216" t="n"/>
      <c r="H79" s="216" t="n"/>
      <c r="I79" s="216" t="n"/>
    </row>
    <row r="80" ht="18" customHeight="1" s="107">
      <c r="A80" s="217" t="n">
        <v>69</v>
      </c>
      <c r="B80" s="218" t="inlineStr">
        <is>
          <t>Decoracion &amp; Diseno</t>
        </is>
      </c>
      <c r="C80" s="218" t="inlineStr">
        <is>
          <t>Jessy &amp; Richard - Coordinación Básica</t>
        </is>
      </c>
      <c r="D80" s="218" t="inlineStr">
        <is>
          <t>Planificación inicial de presupuesto, proveedores y timing de la boda.</t>
        </is>
      </c>
      <c r="E80" s="219" t="n">
        <v>17550</v>
      </c>
      <c r="F80" s="220" t="inlineStr">
        <is>
          <t>Alta</t>
        </is>
      </c>
      <c r="G80" s="217" t="inlineStr">
        <is>
          <t>—</t>
        </is>
      </c>
      <c r="H80" s="218">
        <f>HYPERLINK("https://primaveraeventsgroup.com/987509796-2/wedding-event-planning/","Ver Jessy &amp; Richard")</f>
        <v/>
      </c>
      <c r="I80" s="216" t="n"/>
    </row>
    <row r="81" ht="18" customHeight="1" s="107">
      <c r="A81" s="217" t="n">
        <v>70</v>
      </c>
      <c r="B81" s="218" t="inlineStr">
        <is>
          <t>Decoracion &amp; Diseno</t>
        </is>
      </c>
      <c r="C81" s="218" t="inlineStr">
        <is>
          <t>Jessy &amp; Richard - Coordinación Full VIP</t>
        </is>
      </c>
      <c r="D81" s="218" t="inlineStr">
        <is>
          <t>Coordinación y producción total de inicio a fin del evento en la locación.</t>
        </is>
      </c>
      <c r="E81" s="219" t="n">
        <v>35100</v>
      </c>
      <c r="F81" s="220" t="inlineStr">
        <is>
          <t>Alta</t>
        </is>
      </c>
      <c r="G81" s="217" t="inlineStr">
        <is>
          <t>—</t>
        </is>
      </c>
      <c r="H81" s="218">
        <f>HYPERLINK("https://primaveraeventsgroup.com/987509796-2/wedding-event-planning/","Ver Jessy &amp; Richard")</f>
        <v/>
      </c>
      <c r="I81" s="216" t="n"/>
    </row>
    <row r="82" ht="19.5" customHeight="1" s="107">
      <c r="A82" s="217" t="n">
        <v>71</v>
      </c>
      <c r="B82" s="218" t="inlineStr">
        <is>
          <t>Decoracion &amp; Diseno</t>
        </is>
      </c>
      <c r="C82" s="218" t="inlineStr">
        <is>
          <t>Kataleya Florist - Ramo de Novia Premium</t>
        </is>
      </c>
      <c r="D82" s="218" t="inlineStr">
        <is>
          <t>Arreglo floral exclusivo con flores de gala importadas y orquídeas.</t>
        </is>
      </c>
      <c r="E82" s="219" t="n">
        <v>32760</v>
      </c>
      <c r="F82" s="220" t="inlineStr">
        <is>
          <t>Alta</t>
        </is>
      </c>
      <c r="G82" s="217" t="inlineStr">
        <is>
          <t>—</t>
        </is>
      </c>
      <c r="H82" s="218">
        <f>HYPERLINK("https://wa.me/527775114425","Pedir Kataleya")</f>
        <v/>
      </c>
      <c r="I82" s="216" t="n"/>
    </row>
    <row r="83" ht="18" customHeight="1" s="107">
      <c r="A83" s="217" t="n">
        <v>72</v>
      </c>
      <c r="B83" s="218" t="inlineStr">
        <is>
          <t>Decoracion &amp; Diseno</t>
        </is>
      </c>
      <c r="C83" s="218" t="inlineStr">
        <is>
          <t>Kataleya Florist - Centros de Mesa Gala</t>
        </is>
      </c>
      <c r="D83" s="218" t="inlineStr">
        <is>
          <t>Arreglos florales frescos de altura para mesas de comensales.</t>
        </is>
      </c>
      <c r="E83" s="219" t="n">
        <v>995</v>
      </c>
      <c r="F83" s="220" t="inlineStr">
        <is>
          <t>Alta</t>
        </is>
      </c>
      <c r="G83" s="217" t="inlineStr">
        <is>
          <t>—</t>
        </is>
      </c>
      <c r="H83" s="218">
        <f>HYPERLINK("https://wa.me/527775114425","Pedir Kataleya")</f>
        <v/>
      </c>
      <c r="I83" s="216" t="n"/>
    </row>
    <row r="84" ht="18" customHeight="1" s="107">
      <c r="A84" s="217" t="n">
        <v>73</v>
      </c>
      <c r="B84" s="218" t="inlineStr">
        <is>
          <t>Decoracion &amp; Diseno</t>
        </is>
      </c>
      <c r="C84" s="218" t="inlineStr">
        <is>
          <t>Kataleya Florist - Decoración de Altar/Ceremonia</t>
        </is>
      </c>
      <c r="D84" s="218" t="inlineStr">
        <is>
          <t>Set de flores de gala y decoración para pasillo y altar.</t>
        </is>
      </c>
      <c r="E84" s="219" t="n">
        <v>8775</v>
      </c>
      <c r="F84" s="220" t="inlineStr">
        <is>
          <t>Alta</t>
        </is>
      </c>
      <c r="G84" s="217" t="inlineStr">
        <is>
          <t>—</t>
        </is>
      </c>
      <c r="H84" s="218">
        <f>HYPERLINK("https://wa.me/527775114425","Pedir Kataleya")</f>
        <v/>
      </c>
      <c r="I84" s="216" t="n"/>
    </row>
    <row r="85" ht="18" customHeight="1" s="107">
      <c r="A85" s="217" t="n">
        <v>74</v>
      </c>
      <c r="B85" s="218" t="inlineStr">
        <is>
          <t>Decoracion &amp; Diseno</t>
        </is>
      </c>
      <c r="C85" s="218" t="inlineStr">
        <is>
          <t>Aby Decora - Bouquet 15 Años</t>
        </is>
      </c>
      <c r="D85" s="218" t="inlineStr">
        <is>
          <t>Montaje decorativo de globos con número gigante de 15 años.</t>
        </is>
      </c>
      <c r="E85" s="219" t="n">
        <v>2925</v>
      </c>
      <c r="F85" s="220" t="inlineStr">
        <is>
          <t>Media</t>
        </is>
      </c>
      <c r="G85" s="217" t="inlineStr">
        <is>
          <t>—</t>
        </is>
      </c>
      <c r="H85" s="218">
        <f>HYPERLINK("https://wa.me/527774587923","Pedir Aby Decora")</f>
        <v/>
      </c>
      <c r="I85" s="216" t="n"/>
    </row>
    <row r="86" ht="18" customHeight="1" s="107">
      <c r="A86" s="217" t="n">
        <v>75</v>
      </c>
      <c r="B86" s="218" t="inlineStr">
        <is>
          <t>Decoracion &amp; Diseno</t>
        </is>
      </c>
      <c r="C86" s="218" t="inlineStr">
        <is>
          <t>Aby Decora - Montaje Arco Globos</t>
        </is>
      </c>
      <c r="D86" s="218" t="inlineStr">
        <is>
          <t>Arco orgánico de globos premium para entrada o mesa de honor.</t>
        </is>
      </c>
      <c r="E86" s="219" t="n">
        <v>3510</v>
      </c>
      <c r="F86" s="220" t="inlineStr">
        <is>
          <t>Media</t>
        </is>
      </c>
      <c r="G86" s="217" t="inlineStr">
        <is>
          <t>—</t>
        </is>
      </c>
      <c r="H86" s="218">
        <f>HYPERLINK("https://wa.me/527774587923","Pedir Aby Decora")</f>
        <v/>
      </c>
      <c r="I86" s="216" t="n"/>
    </row>
    <row r="87" ht="18" customHeight="1" s="107">
      <c r="A87" s="217" t="n">
        <v>76</v>
      </c>
      <c r="B87" s="218" t="inlineStr">
        <is>
          <t>Decoracion &amp; Diseno</t>
        </is>
      </c>
      <c r="C87" s="218" t="inlineStr">
        <is>
          <t>Aby Decora - Panel Back Globos</t>
        </is>
      </c>
      <c r="D87" s="218" t="inlineStr">
        <is>
          <t>Panel circular con set de globos y luces de neón decorativas.</t>
        </is>
      </c>
      <c r="E87" s="219" t="n">
        <v>5265</v>
      </c>
      <c r="F87" s="220" t="inlineStr">
        <is>
          <t>Media</t>
        </is>
      </c>
      <c r="G87" s="217" t="inlineStr">
        <is>
          <t>—</t>
        </is>
      </c>
      <c r="H87" s="218">
        <f>HYPERLINK("https://wa.me/527774587923","Pedir Aby Decora")</f>
        <v/>
      </c>
      <c r="I87" s="216" t="n"/>
    </row>
    <row r="88" ht="18" customHeight="1" s="107">
      <c r="A88" s="217" t="n">
        <v>77</v>
      </c>
      <c r="B88" s="218" t="inlineStr">
        <is>
          <t>Decoracion &amp; Diseno</t>
        </is>
      </c>
      <c r="C88" s="218" t="inlineStr">
        <is>
          <t>Aby Decora - Decoración Total Globos</t>
        </is>
      </c>
      <c r="D88" s="218" t="inlineStr">
        <is>
          <t>Decoración total: Mesa de honor, mesa de dulces, back y entrada.</t>
        </is>
      </c>
      <c r="E88" s="219" t="n">
        <v>5850</v>
      </c>
      <c r="F88" s="220" t="inlineStr">
        <is>
          <t>Media</t>
        </is>
      </c>
      <c r="G88" s="217" t="inlineStr">
        <is>
          <t>—</t>
        </is>
      </c>
      <c r="H88" s="218">
        <f>HYPERLINK("https://wa.me/527774587923","Pedir Aby Decora")</f>
        <v/>
      </c>
      <c r="I88" s="216" t="n"/>
    </row>
    <row r="89" ht="18" customHeight="1" s="107">
      <c r="A89" s="217" t="n">
        <v>78</v>
      </c>
      <c r="B89" s="218" t="inlineStr">
        <is>
          <t>Decoracion &amp; Diseno</t>
        </is>
      </c>
      <c r="C89" s="218" t="inlineStr">
        <is>
          <t>Mobiliario temático</t>
        </is>
      </c>
      <c r="D89" s="218" t="inlineStr">
        <is>
          <t>Renta de mesas de madera, sillas crossback o salas lounge.</t>
        </is>
      </c>
      <c r="E89" s="219" t="n">
        <v>4500</v>
      </c>
      <c r="F89" s="220" t="inlineStr">
        <is>
          <t>Media</t>
        </is>
      </c>
      <c r="G89" s="217" t="inlineStr">
        <is>
          <t>—</t>
        </is>
      </c>
      <c r="H89" s="218" t="inlineStr"/>
      <c r="I89" s="216" t="n"/>
    </row>
    <row r="90" ht="19.5" customHeight="1" s="107">
      <c r="A90" s="217" t="n">
        <v>79</v>
      </c>
      <c r="B90" s="218" t="inlineStr">
        <is>
          <t>Decoracion &amp; Diseno</t>
        </is>
      </c>
      <c r="C90" s="218" t="inlineStr">
        <is>
          <t>Mantelería premium</t>
        </is>
      </c>
      <c r="D90" s="218" t="inlineStr">
        <is>
          <t>Manteles de gala, caminos de mesa y servilletas bordadas.</t>
        </is>
      </c>
      <c r="E90" s="219" t="n">
        <v>2500</v>
      </c>
      <c r="F90" s="220" t="inlineStr">
        <is>
          <t>Media</t>
        </is>
      </c>
      <c r="G90" s="217" t="inlineStr">
        <is>
          <t>—</t>
        </is>
      </c>
      <c r="H90" s="218" t="inlineStr"/>
      <c r="I90" s="216" t="n"/>
    </row>
    <row r="91" ht="18" customHeight="1" s="107">
      <c r="A91" s="215" t="inlineStr">
        <is>
          <t xml:space="preserve">  Produccion &amp; Montaje</t>
        </is>
      </c>
      <c r="B91" s="216" t="n"/>
      <c r="C91" s="216" t="n"/>
      <c r="D91" s="216" t="n"/>
      <c r="E91" s="216" t="n"/>
      <c r="F91" s="216" t="n"/>
      <c r="G91" s="216" t="n"/>
      <c r="H91" s="216" t="n"/>
      <c r="I91" s="216" t="n"/>
    </row>
    <row r="92" ht="18" customHeight="1" s="107">
      <c r="A92" s="217" t="n">
        <v>80</v>
      </c>
      <c r="B92" s="218" t="inlineStr">
        <is>
          <t>Produccion &amp; Montaje</t>
        </is>
      </c>
      <c r="C92" s="218" t="inlineStr">
        <is>
          <t>Proveedor de Pantallas - LED P3 (3x2m)</t>
        </is>
      </c>
      <c r="D92" s="218" t="inlineStr">
        <is>
          <t>Pantalla gigante de alta definición con soporte, cableado y operador.</t>
        </is>
      </c>
      <c r="E92" s="219" t="n">
        <v>9945</v>
      </c>
      <c r="F92" s="220" t="inlineStr">
        <is>
          <t>Media</t>
        </is>
      </c>
      <c r="G92" s="217" t="inlineStr">
        <is>
          <t>—</t>
        </is>
      </c>
      <c r="H92" s="218">
        <f>HYPERLINK("https://primaveraeventsgroup.com/","Ver Proveedor Pantallas")</f>
        <v/>
      </c>
      <c r="I92" s="216" t="n"/>
    </row>
    <row r="93" ht="18" customHeight="1" s="107">
      <c r="A93" s="217" t="n">
        <v>81</v>
      </c>
      <c r="B93" s="218" t="inlineStr">
        <is>
          <t>Produccion &amp; Montaje</t>
        </is>
      </c>
      <c r="C93" s="218" t="inlineStr">
        <is>
          <t>Proveedor de Pantallas - LED P3 (4x3m)</t>
        </is>
      </c>
      <c r="D93" s="218" t="inlineStr">
        <is>
          <t>Pantalla gigante LED P3 premium de gran alcance con operador.</t>
        </is>
      </c>
      <c r="E93" s="219" t="n">
        <v>14040</v>
      </c>
      <c r="F93" s="220" t="inlineStr">
        <is>
          <t>Media</t>
        </is>
      </c>
      <c r="G93" s="217" t="inlineStr">
        <is>
          <t>—</t>
        </is>
      </c>
      <c r="H93" s="218">
        <f>HYPERLINK("https://primaveraeventsgroup.com/","Ver Proveedor Pantallas")</f>
        <v/>
      </c>
      <c r="I93" s="216" t="n"/>
    </row>
    <row r="94" ht="18" customHeight="1" s="107">
      <c r="A94" s="217" t="n">
        <v>82</v>
      </c>
      <c r="B94" s="218" t="inlineStr">
        <is>
          <t>Produccion &amp; Montaje</t>
        </is>
      </c>
      <c r="C94" s="218" t="inlineStr">
        <is>
          <t>Iluminación arquitectónica</t>
        </is>
      </c>
      <c r="D94" s="218" t="inlineStr">
        <is>
          <t>Montaje de luces ambientales en columnas y áreas clave del salón.</t>
        </is>
      </c>
      <c r="E94" s="219" t="n">
        <v>6000</v>
      </c>
      <c r="F94" s="220" t="inlineStr">
        <is>
          <t>Alta</t>
        </is>
      </c>
      <c r="G94" s="217" t="inlineStr">
        <is>
          <t>—</t>
        </is>
      </c>
      <c r="H94" s="218" t="inlineStr"/>
      <c r="I94" s="216" t="n"/>
    </row>
    <row r="95" ht="19.5" customHeight="1" s="107">
      <c r="A95" s="217" t="n">
        <v>83</v>
      </c>
      <c r="B95" s="218" t="inlineStr">
        <is>
          <t>Produccion &amp; Montaje</t>
        </is>
      </c>
      <c r="C95" s="218" t="inlineStr">
        <is>
          <t>Audio profesional</t>
        </is>
      </c>
      <c r="D95" s="218" t="inlineStr">
        <is>
          <t>Equipamiento de bocinas line array de alta fidelidad para el banquete.</t>
        </is>
      </c>
      <c r="E95" s="219" t="n">
        <v>5000</v>
      </c>
      <c r="F95" s="220" t="inlineStr">
        <is>
          <t>Alta</t>
        </is>
      </c>
      <c r="G95" s="217" t="inlineStr">
        <is>
          <t>—</t>
        </is>
      </c>
      <c r="H95" s="218" t="inlineStr"/>
      <c r="I95" s="216" t="n"/>
    </row>
    <row r="96" ht="18" customHeight="1" s="107">
      <c r="A96" s="217" t="n">
        <v>84</v>
      </c>
      <c r="B96" s="218" t="inlineStr">
        <is>
          <t>Produccion &amp; Montaje</t>
        </is>
      </c>
      <c r="C96" s="218" t="inlineStr">
        <is>
          <t>Estructuras / Tarimas</t>
        </is>
      </c>
      <c r="D96" s="218" t="inlineStr">
        <is>
          <t>Montaje de pista y estructuras de aluminio elevadas para luces.</t>
        </is>
      </c>
      <c r="E96" s="219" t="n">
        <v>5000</v>
      </c>
      <c r="F96" s="220" t="inlineStr">
        <is>
          <t>Media</t>
        </is>
      </c>
      <c r="G96" s="217" t="inlineStr">
        <is>
          <t>—</t>
        </is>
      </c>
      <c r="H96" s="218" t="inlineStr"/>
      <c r="I96" s="216" t="n"/>
    </row>
    <row r="97" ht="18" customHeight="1" s="107">
      <c r="A97" s="215" t="inlineStr">
        <is>
          <t xml:space="preserve">  Papeleria &amp; Diseno Grafico</t>
        </is>
      </c>
      <c r="B97" s="216" t="n"/>
      <c r="C97" s="216" t="n"/>
      <c r="D97" s="216" t="n"/>
      <c r="E97" s="216" t="n"/>
      <c r="F97" s="216" t="n"/>
      <c r="G97" s="216" t="n"/>
      <c r="H97" s="216" t="n"/>
      <c r="I97" s="216" t="n"/>
    </row>
    <row r="98" ht="18" customHeight="1" s="107">
      <c r="A98" s="217" t="n">
        <v>85</v>
      </c>
      <c r="B98" s="218" t="inlineStr">
        <is>
          <t>Papeleria &amp; Diseno Grafico</t>
        </is>
      </c>
      <c r="C98" s="218" t="inlineStr">
        <is>
          <t>INIT Idea - Invitación Digital Premium</t>
        </is>
      </c>
      <c r="D98" s="218" t="inlineStr">
        <is>
          <t>Invitación interactiva con música, confirmación, mapa y cronograma.</t>
        </is>
      </c>
      <c r="E98" s="219" t="n">
        <v>1755</v>
      </c>
      <c r="F98" s="220" t="inlineStr">
        <is>
          <t>Alta</t>
        </is>
      </c>
      <c r="G98" s="217" t="inlineStr">
        <is>
          <t>—</t>
        </is>
      </c>
      <c r="H98" s="218">
        <f>HYPERLINK("https://5410m0n0c001.github.io/INIT-IDEA/invitaciones.html","Ver INIT Idea")</f>
        <v/>
      </c>
      <c r="I98" s="216" t="n"/>
    </row>
    <row r="99" ht="18" customHeight="1" s="107">
      <c r="A99" s="217" t="n">
        <v>86</v>
      </c>
      <c r="B99" s="218" t="inlineStr">
        <is>
          <t>Papeleria &amp; Diseno Grafico</t>
        </is>
      </c>
      <c r="C99" s="218" t="inlineStr">
        <is>
          <t>INIT Idea - Invitación Digital VIP</t>
        </is>
      </c>
      <c r="D99" s="218" t="inlineStr">
        <is>
          <t>Invitación interactiva con pases QR individuales, confirmación y RSVP.</t>
        </is>
      </c>
      <c r="E99" s="219" t="n">
        <v>2925</v>
      </c>
      <c r="F99" s="220" t="inlineStr">
        <is>
          <t>Alta</t>
        </is>
      </c>
      <c r="G99" s="217" t="inlineStr">
        <is>
          <t>—</t>
        </is>
      </c>
      <c r="H99" s="218">
        <f>HYPERLINK("https://5410m0n0c001.github.io/INIT-IDEA/invitaciones.html","Ver INIT Idea")</f>
        <v/>
      </c>
      <c r="I99" s="216" t="n"/>
    </row>
    <row r="100" ht="18" customHeight="1" s="107">
      <c r="A100" s="217" t="n">
        <v>87</v>
      </c>
      <c r="B100" s="218" t="inlineStr">
        <is>
          <t>Papeleria &amp; Diseno Grafico</t>
        </is>
      </c>
      <c r="C100" s="218" t="inlineStr">
        <is>
          <t>Invitaciones físicas</t>
        </is>
      </c>
      <c r="D100" s="218" t="inlineStr">
        <is>
          <t>Invitaciones impresas en papel fino y sobres personalizados.</t>
        </is>
      </c>
      <c r="E100" s="219" t="n">
        <v>3500</v>
      </c>
      <c r="F100" s="220" t="inlineStr">
        <is>
          <t>Alta</t>
        </is>
      </c>
      <c r="G100" s="217" t="inlineStr">
        <is>
          <t>—</t>
        </is>
      </c>
      <c r="H100" s="218" t="inlineStr"/>
      <c r="I100" s="216" t="n"/>
    </row>
    <row r="101" ht="18" customHeight="1" s="107">
      <c r="A101" s="217" t="n">
        <v>88</v>
      </c>
      <c r="B101" s="218" t="inlineStr">
        <is>
          <t>Papeleria &amp; Diseno Grafico</t>
        </is>
      </c>
      <c r="C101" s="218" t="inlineStr">
        <is>
          <t>Save the date digital</t>
        </is>
      </c>
      <c r="D101" s="218" t="inlineStr">
        <is>
          <t>Folleto digital para anticipar la fecha en redes.</t>
        </is>
      </c>
      <c r="E101" s="219" t="n">
        <v>1200</v>
      </c>
      <c r="F101" s="220" t="inlineStr">
        <is>
          <t>Media</t>
        </is>
      </c>
      <c r="G101" s="217" t="inlineStr">
        <is>
          <t>—</t>
        </is>
      </c>
      <c r="H101" s="218" t="inlineStr"/>
      <c r="I101" s="216" t="n"/>
    </row>
    <row r="102" ht="19.5" customHeight="1" s="107">
      <c r="A102" s="217" t="n">
        <v>89</v>
      </c>
      <c r="B102" s="218" t="inlineStr">
        <is>
          <t>Papeleria &amp; Diseno Grafico</t>
        </is>
      </c>
      <c r="C102" s="218" t="inlineStr">
        <is>
          <t>Menús impresos</t>
        </is>
      </c>
      <c r="D102" s="218" t="inlineStr">
        <is>
          <t>Minutas del menú por persona en cada lugar de mesa.</t>
        </is>
      </c>
      <c r="E102" s="219" t="n">
        <v>800</v>
      </c>
      <c r="F102" s="220" t="inlineStr">
        <is>
          <t>Baja</t>
        </is>
      </c>
      <c r="G102" s="217" t="inlineStr">
        <is>
          <t>—</t>
        </is>
      </c>
      <c r="H102" s="218" t="inlineStr"/>
      <c r="I102" s="216" t="n"/>
    </row>
    <row r="103" ht="18" customHeight="1" s="107">
      <c r="A103" s="215" t="inlineStr">
        <is>
          <t xml:space="preserve">  Transporte</t>
        </is>
      </c>
      <c r="B103" s="216" t="n"/>
      <c r="C103" s="216" t="n"/>
      <c r="D103" s="216" t="n"/>
      <c r="E103" s="216" t="n"/>
      <c r="F103" s="216" t="n"/>
      <c r="G103" s="216" t="n"/>
      <c r="H103" s="216" t="n"/>
      <c r="I103" s="216" t="n"/>
    </row>
    <row r="104" ht="18" customHeight="1" s="107">
      <c r="A104" s="217" t="n">
        <v>90</v>
      </c>
      <c r="B104" s="218" t="inlineStr">
        <is>
          <t>Transporte</t>
        </is>
      </c>
      <c r="C104" s="218" t="inlineStr">
        <is>
          <t>Transporte de invitados</t>
        </is>
      </c>
      <c r="D104" s="218" t="inlineStr">
        <is>
          <t>Traslado de invitados en Vans o autobuses ejecutivos.</t>
        </is>
      </c>
      <c r="E104" s="219" t="n">
        <v>5000</v>
      </c>
      <c r="F104" s="220" t="inlineStr">
        <is>
          <t>Media</t>
        </is>
      </c>
      <c r="G104" s="217" t="inlineStr">
        <is>
          <t>—</t>
        </is>
      </c>
      <c r="H104" s="218" t="inlineStr"/>
      <c r="I104" s="216" t="n"/>
    </row>
    <row r="105" ht="18" customHeight="1" s="107">
      <c r="A105" s="217" t="n">
        <v>91</v>
      </c>
      <c r="B105" s="218" t="inlineStr">
        <is>
          <t>Transporte</t>
        </is>
      </c>
      <c r="C105" s="218" t="inlineStr">
        <is>
          <t>Auto de lujo / decorado</t>
        </is>
      </c>
      <c r="D105" s="218" t="inlineStr">
        <is>
          <t>Auto de gala decorado para el traslado de la novia.</t>
        </is>
      </c>
      <c r="E105" s="219" t="n">
        <v>3500</v>
      </c>
      <c r="F105" s="220" t="inlineStr">
        <is>
          <t>Media</t>
        </is>
      </c>
      <c r="G105" s="217" t="inlineStr">
        <is>
          <t>—</t>
        </is>
      </c>
      <c r="H105" s="218" t="inlineStr"/>
      <c r="I105" s="216" t="n"/>
    </row>
    <row r="106" ht="18" customHeight="1" s="107">
      <c r="A106" s="215" t="inlineStr">
        <is>
          <t xml:space="preserve">  Staff Operativo</t>
        </is>
      </c>
      <c r="B106" s="216" t="n"/>
      <c r="C106" s="216" t="n"/>
      <c r="D106" s="216" t="n"/>
      <c r="E106" s="216" t="n"/>
      <c r="F106" s="216" t="n"/>
      <c r="G106" s="216" t="n"/>
      <c r="H106" s="216" t="n"/>
      <c r="I106" s="216" t="n"/>
    </row>
    <row r="107" ht="18" customHeight="1" s="107">
      <c r="A107" s="217" t="n">
        <v>92</v>
      </c>
      <c r="B107" s="218" t="inlineStr">
        <is>
          <t>Staff Operativo</t>
        </is>
      </c>
      <c r="C107" s="218" t="inlineStr">
        <is>
          <t>Banquetes Primavera - Servicio Meseros</t>
        </is>
      </c>
      <c r="D107" s="218" t="inlineStr">
        <is>
          <t>10 meseros uniformados brindando atención personalizada durante 5 horas.</t>
        </is>
      </c>
      <c r="E107" s="219" t="n">
        <v>14040</v>
      </c>
      <c r="F107" s="220" t="inlineStr">
        <is>
          <t>Alta</t>
        </is>
      </c>
      <c r="G107" s="217" t="inlineStr">
        <is>
          <t>—</t>
        </is>
      </c>
      <c r="H107" s="218">
        <f>HYPERLINK("https://primaveraeventsgroup.com/987509796-2/banquetes-primavera/","Ver Banquetes")</f>
        <v/>
      </c>
      <c r="I107" s="216" t="n"/>
    </row>
    <row r="108" ht="18" customHeight="1" s="107">
      <c r="A108" s="217" t="n">
        <v>93</v>
      </c>
      <c r="B108" s="218" t="inlineStr">
        <is>
          <t>Staff Operativo</t>
        </is>
      </c>
      <c r="C108" s="218" t="inlineStr">
        <is>
          <t>Banquetes Primavera - Capitán de Servicio</t>
        </is>
      </c>
      <c r="D108" s="218" t="inlineStr">
        <is>
          <t>Capitán coordinador del servicio de alimentos, tiempos de barra y cocina.</t>
        </is>
      </c>
      <c r="E108" s="219" t="n">
        <v>21060</v>
      </c>
      <c r="F108" s="220" t="inlineStr">
        <is>
          <t>Alta</t>
        </is>
      </c>
      <c r="G108" s="217" t="inlineStr">
        <is>
          <t>—</t>
        </is>
      </c>
      <c r="H108" s="218">
        <f>HYPERLINK("https://primaveraeventsgroup.com/987509796-2/banquetes-primavera/","Ver Banquetes")</f>
        <v/>
      </c>
      <c r="I108" s="216" t="n"/>
    </row>
    <row r="109" ht="18" customHeight="1" s="107">
      <c r="A109" s="217" t="n">
        <v>94</v>
      </c>
      <c r="B109" s="218" t="inlineStr">
        <is>
          <t>Staff Operativo</t>
        </is>
      </c>
      <c r="C109" s="218" t="inlineStr">
        <is>
          <t>Personal de limpieza</t>
        </is>
      </c>
      <c r="D109" s="218" t="inlineStr">
        <is>
          <t>Mantenimiento y desinfección de sanitarios durante la gala.</t>
        </is>
      </c>
      <c r="E109" s="219" t="n">
        <v>1500</v>
      </c>
      <c r="F109" s="220" t="inlineStr">
        <is>
          <t>Alta</t>
        </is>
      </c>
      <c r="G109" s="217" t="inlineStr">
        <is>
          <t>—</t>
        </is>
      </c>
      <c r="H109" s="218" t="inlineStr"/>
      <c r="I109" s="216" t="n"/>
    </row>
    <row r="110" ht="19.5" customHeight="1" s="107">
      <c r="A110" s="215" t="inlineStr">
        <is>
          <t xml:space="preserve">  Experiencia &amp; Extras</t>
        </is>
      </c>
      <c r="B110" s="216" t="n"/>
      <c r="C110" s="216" t="n"/>
      <c r="D110" s="216" t="n"/>
      <c r="E110" s="216" t="n"/>
      <c r="F110" s="216" t="n"/>
      <c r="G110" s="216" t="n"/>
      <c r="H110" s="216" t="n"/>
      <c r="I110" s="216" t="n"/>
    </row>
    <row r="111" ht="18" customHeight="1" s="107">
      <c r="A111" s="217" t="n">
        <v>95</v>
      </c>
      <c r="B111" s="218" t="inlineStr">
        <is>
          <t>Experiencia &amp; Extras</t>
        </is>
      </c>
      <c r="C111" s="218" t="inlineStr">
        <is>
          <t>Recuerdos / Souvenirs</t>
        </is>
      </c>
      <c r="D111" s="218" t="inlineStr">
        <is>
          <t>Detalles temáticos y recuerdos personalizados para invitados.</t>
        </is>
      </c>
      <c r="E111" s="219" t="n">
        <v>4500</v>
      </c>
      <c r="F111" s="220" t="inlineStr">
        <is>
          <t>Media</t>
        </is>
      </c>
      <c r="G111" s="217" t="inlineStr">
        <is>
          <t>—</t>
        </is>
      </c>
      <c r="H111" s="218" t="inlineStr"/>
      <c r="I111" s="216" t="n"/>
    </row>
    <row r="112" ht="18" customHeight="1" s="107">
      <c r="A112" s="217" t="n">
        <v>96</v>
      </c>
      <c r="B112" s="218" t="inlineStr">
        <is>
          <t>Experiencia &amp; Extras</t>
        </is>
      </c>
      <c r="C112" s="218" t="inlineStr">
        <is>
          <t>Show pirotécnico frío</t>
        </is>
      </c>
      <c r="D112" s="218" t="inlineStr">
        <is>
          <t>Chispas de luz fría de interior para el baile y vals.</t>
        </is>
      </c>
      <c r="E112" s="219" t="n">
        <v>3000</v>
      </c>
      <c r="F112" s="220" t="inlineStr">
        <is>
          <t>Media</t>
        </is>
      </c>
      <c r="G112" s="217" t="inlineStr">
        <is>
          <t>—</t>
        </is>
      </c>
      <c r="H112" s="218" t="inlineStr"/>
      <c r="I112" s="216" t="n"/>
    </row>
    <row r="113" ht="18" customHeight="1" s="107">
      <c r="A113" s="217" t="n">
        <v>97</v>
      </c>
      <c r="B113" s="218" t="inlineStr">
        <is>
          <t>Experiencia &amp; Extras</t>
        </is>
      </c>
      <c r="C113" s="218" t="inlineStr">
        <is>
          <t>Letras gigantes LED</t>
        </is>
      </c>
      <c r="D113" s="218" t="inlineStr">
        <is>
          <t>Renta de letras gigantes iluminadas con iniciales (pista).</t>
        </is>
      </c>
      <c r="E113" s="219" t="n">
        <v>2500</v>
      </c>
      <c r="F113" s="220" t="inlineStr">
        <is>
          <t>Media</t>
        </is>
      </c>
      <c r="G113" s="217" t="inlineStr">
        <is>
          <t>—</t>
        </is>
      </c>
      <c r="H113" s="218" t="inlineStr"/>
      <c r="I113" s="216" t="n"/>
    </row>
    <row r="114" ht="18" customHeight="1" s="107">
      <c r="A114" s="215" t="inlineStr">
        <is>
          <t xml:space="preserve">  Servicios Administrativos</t>
        </is>
      </c>
      <c r="B114" s="216" t="n"/>
      <c r="C114" s="216" t="n"/>
      <c r="D114" s="216" t="n"/>
      <c r="E114" s="216" t="n"/>
      <c r="F114" s="216" t="n"/>
      <c r="G114" s="216" t="n"/>
      <c r="H114" s="216" t="n"/>
      <c r="I114" s="216" t="n"/>
    </row>
    <row r="115" ht="15" customHeight="1" s="107">
      <c r="A115" s="217" t="n">
        <v>98</v>
      </c>
      <c r="B115" s="218" t="inlineStr">
        <is>
          <t>Servicios Administrativos</t>
        </is>
      </c>
      <c r="C115" s="218" t="inlineStr">
        <is>
          <t>Seguro del evento</t>
        </is>
      </c>
      <c r="D115" s="218" t="inlineStr">
        <is>
          <t>Póliza contra cancelación, accidentes o imprevistos de clima.</t>
        </is>
      </c>
      <c r="E115" s="219" t="n">
        <v>2000</v>
      </c>
      <c r="F115" s="220" t="inlineStr">
        <is>
          <t>Alta</t>
        </is>
      </c>
      <c r="G115" s="217" t="inlineStr">
        <is>
          <t>—</t>
        </is>
      </c>
      <c r="H115" s="218" t="inlineStr"/>
      <c r="I115" s="216" t="n"/>
    </row>
    <row r="116">
      <c r="A116" s="217" t="n">
        <v>99</v>
      </c>
      <c r="B116" s="218" t="inlineStr">
        <is>
          <t>Servicios Administrativos</t>
        </is>
      </c>
      <c r="C116" s="218" t="inlineStr">
        <is>
          <t>Contratos y gestión legal</t>
        </is>
      </c>
      <c r="D116" s="218" t="inlineStr">
        <is>
          <t>Control de contratos de expositores y logística legal.</t>
        </is>
      </c>
      <c r="E116" s="219" t="n">
        <v>1500</v>
      </c>
      <c r="F116" s="220" t="inlineStr">
        <is>
          <t>Media</t>
        </is>
      </c>
      <c r="G116" s="217" t="inlineStr">
        <is>
          <t>—</t>
        </is>
      </c>
      <c r="H116" s="218" t="inlineStr"/>
      <c r="I116" s="216" t="n"/>
    </row>
    <row r="117">
      <c r="A117" s="221" t="inlineStr">
        <is>
          <t>TOTAL SERVICIOS SELECCIONADOS (99 servicios disponibles)</t>
        </is>
      </c>
      <c r="B117" s="216" t="n"/>
      <c r="C117" s="216" t="n"/>
      <c r="D117" s="216" t="n"/>
      <c r="E117" s="222">
        <f>SUMIF(G4:G116,"✓",E4:E116)</f>
        <v/>
      </c>
      <c r="F117" s="223">
        <f>COUNTIF(G4:G116,"✓") &amp; " seleccionados"</f>
        <v/>
      </c>
      <c r="G117" s="216" t="n"/>
      <c r="H117" s="216" t="n"/>
      <c r="I117" s="216" t="n"/>
    </row>
  </sheetData>
  <mergeCells count="18">
    <mergeCell ref="A4:H4"/>
    <mergeCell ref="A1:J1"/>
    <mergeCell ref="F115:H115"/>
    <mergeCell ref="A59:H59"/>
    <mergeCell ref="A25:H25"/>
    <mergeCell ref="A65:H65"/>
    <mergeCell ref="A38:H38"/>
    <mergeCell ref="A95:H95"/>
    <mergeCell ref="A51:H51"/>
    <mergeCell ref="A2:J2"/>
    <mergeCell ref="A82:H82"/>
    <mergeCell ref="A76:H76"/>
    <mergeCell ref="A90:H90"/>
    <mergeCell ref="A14:H14"/>
    <mergeCell ref="A102:H102"/>
    <mergeCell ref="A45:H45"/>
    <mergeCell ref="A110:H110"/>
    <mergeCell ref="A115:D115"/>
  </mergeCells>
  <dataValidations count="2">
    <dataValidation sqref="F5:F13 F15:F24 F26:F37 F39:F44 F46:F50 F52:F58 F60:F64 F66:F75 F77:F81 F83:F89 F91:F94 F96:F101 F103:F109 F111:F114" showDropDown="0" showInputMessage="0" showErrorMessage="0" allowBlank="1" type="list" errorStyle="stop" operator="between">
      <formula1>"Alta,Media,Baja"</formula1>
      <formula2>0</formula2>
    </dataValidation>
    <dataValidation sqref="G5:G13 G15:G24 G26:G37 G39:G44 G46:G50 G52:G58 G60:G64 G66:G75 G77:G81 G83:G89 G91:G94 G96:G101 G103:G109 G111:G114" showDropDown="0" showInputMessage="0" showErrorMessage="0" allowBlank="1" type="list" errorStyle="stop" operator="between">
      <formula1>"✓,—"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565C0"/>
    <outlinePr summaryBelow="1" summaryRight="1"/>
    <pageSetUpPr fitToPage="0"/>
  </sheetPr>
  <dimension ref="A1:J2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06" min="1" max="1"/>
    <col width="25" customWidth="1" style="106" min="2" max="2"/>
    <col width="20" customWidth="1" style="106" min="3" max="3"/>
    <col width="14" customWidth="1" style="106" min="4" max="4"/>
    <col width="13" customWidth="1" style="106" min="5" max="7"/>
    <col width="22" customWidth="1" style="106" min="8" max="8"/>
    <col width="15" customWidth="1" style="106" min="9" max="9"/>
    <col width="20" customWidth="1" style="106" min="10" max="10"/>
  </cols>
  <sheetData>
    <row r="1" ht="30" customHeight="1" s="107">
      <c r="A1" s="166" t="inlineStr">
        <is>
          <t>👥 LISTA DE INVITADOS</t>
        </is>
      </c>
    </row>
    <row r="2" ht="18" customHeight="1" s="107">
      <c r="A2" s="139" t="inlineStr">
        <is>
          <t>Gestiona confirmaciones, mesas y restricciones alimenticias</t>
        </is>
      </c>
    </row>
    <row r="3" ht="15" customHeight="1" s="107">
      <c r="A3" s="167" t="inlineStr">
        <is>
          <t>Total invitados esperados:</t>
        </is>
      </c>
      <c r="B3" s="168">
        <f>'📊 Dashboard'!B9</f>
        <v/>
      </c>
      <c r="C3" s="169" t="inlineStr">
        <is>
          <t>✅ Confirmados:</t>
        </is>
      </c>
      <c r="D3" s="170">
        <f>COUNTIF(D6:D205,"Sí")</f>
        <v/>
      </c>
      <c r="E3" s="171" t="inlineStr">
        <is>
          <t>⏳ Pendientes:</t>
        </is>
      </c>
      <c r="F3" s="172">
        <f>COUNTIF(D6:D205,"Pendiente")</f>
        <v/>
      </c>
      <c r="G3" s="173" t="inlineStr">
        <is>
          <t>❌ No asistirán:</t>
        </is>
      </c>
      <c r="H3" s="174">
        <f>COUNTIF(D6:D205,"No")</f>
        <v/>
      </c>
      <c r="I3" s="175" t="inlineStr">
        <is>
          <t>👥 Total personas:</t>
        </is>
      </c>
      <c r="J3" s="176">
        <f>SUMIF(D6:D205,"Sí",E6:E205)+SUMIF(D6:D205,"Pendiente",E6:E205)</f>
        <v/>
      </c>
    </row>
    <row r="5" ht="15" customHeight="1" s="107">
      <c r="A5" s="177" t="inlineStr">
        <is>
          <t>N°</t>
        </is>
      </c>
      <c r="B5" s="177" t="inlineStr">
        <is>
          <t>Nombre completo</t>
        </is>
      </c>
      <c r="C5" s="177" t="inlineStr">
        <is>
          <t>Familia / Grupo</t>
        </is>
      </c>
      <c r="D5" s="177" t="inlineStr">
        <is>
          <t>Confirmación</t>
        </is>
      </c>
      <c r="E5" s="177" t="inlineStr">
        <is>
          <t>Acompañantes</t>
        </is>
      </c>
      <c r="F5" s="177" t="inlineStr">
        <is>
          <t>Total personas</t>
        </is>
      </c>
      <c r="G5" s="177" t="inlineStr">
        <is>
          <t>Mesa asignada</t>
        </is>
      </c>
      <c r="H5" s="177" t="inlineStr">
        <is>
          <t>Restricción alimenticia</t>
        </is>
      </c>
      <c r="I5" s="177" t="inlineStr">
        <is>
          <t>Teléfono</t>
        </is>
      </c>
      <c r="J5" s="177" t="inlineStr">
        <is>
          <t>Notas</t>
        </is>
      </c>
    </row>
    <row r="6" ht="18" customHeight="1" s="107">
      <c r="A6" s="156" t="n">
        <v>1</v>
      </c>
      <c r="B6" s="145" t="inlineStr">
        <is>
          <t>García Martínez</t>
        </is>
      </c>
      <c r="C6" s="145" t="inlineStr">
        <is>
          <t>Familia García</t>
        </is>
      </c>
      <c r="D6" s="158" t="inlineStr">
        <is>
          <t>Sí</t>
        </is>
      </c>
      <c r="E6" s="156" t="n">
        <v>1</v>
      </c>
      <c r="F6" s="156" t="n">
        <v>2</v>
      </c>
      <c r="G6" s="156" t="inlineStr">
        <is>
          <t>Mesa 1</t>
        </is>
      </c>
      <c r="H6" s="145" t="inlineStr">
        <is>
          <t>Ninguna</t>
        </is>
      </c>
      <c r="I6" s="145" t="inlineStr">
        <is>
          <t>55-1234-5678</t>
        </is>
      </c>
      <c r="J6" s="145" t="n"/>
    </row>
    <row r="7" ht="18" customHeight="1" s="107">
      <c r="A7" s="159" t="n">
        <v>2</v>
      </c>
      <c r="B7" s="160" t="inlineStr">
        <is>
          <t>López Hernández</t>
        </is>
      </c>
      <c r="C7" s="160" t="inlineStr">
        <is>
          <t>Amigos novio</t>
        </is>
      </c>
      <c r="D7" s="158" t="inlineStr">
        <is>
          <t>Sí</t>
        </is>
      </c>
      <c r="E7" s="159" t="n">
        <v>0</v>
      </c>
      <c r="F7" s="159" t="n">
        <v>1</v>
      </c>
      <c r="G7" s="159" t="inlineStr">
        <is>
          <t>Mesa 2</t>
        </is>
      </c>
      <c r="H7" s="160" t="inlineStr">
        <is>
          <t>Vegetariano</t>
        </is>
      </c>
      <c r="I7" s="160" t="inlineStr">
        <is>
          <t>55-2345-6789</t>
        </is>
      </c>
      <c r="J7" s="160" t="n"/>
    </row>
    <row r="8" ht="18" customHeight="1" s="107">
      <c r="A8" s="156" t="n">
        <v>3</v>
      </c>
      <c r="B8" s="145" t="inlineStr">
        <is>
          <t>Rodríguez Pérez</t>
        </is>
      </c>
      <c r="C8" s="145" t="inlineStr">
        <is>
          <t>Familia novia</t>
        </is>
      </c>
      <c r="D8" s="157" t="inlineStr">
        <is>
          <t>Pendiente</t>
        </is>
      </c>
      <c r="E8" s="156" t="n">
        <v>2</v>
      </c>
      <c r="F8" s="156" t="n">
        <v>3</v>
      </c>
      <c r="G8" s="156" t="n"/>
      <c r="H8" s="145" t="inlineStr">
        <is>
          <t>Ninguna</t>
        </is>
      </c>
      <c r="I8" s="145" t="inlineStr">
        <is>
          <t>55-3456-7890</t>
        </is>
      </c>
      <c r="J8" s="145" t="n"/>
    </row>
    <row r="9" ht="18" customHeight="1" s="107">
      <c r="A9" s="159" t="n">
        <v>4</v>
      </c>
      <c r="B9" s="160" t="inlineStr">
        <is>
          <t>Martínez González</t>
        </is>
      </c>
      <c r="C9" s="160" t="inlineStr">
        <is>
          <t>Trabajo</t>
        </is>
      </c>
      <c r="D9" s="158" t="inlineStr">
        <is>
          <t>Sí</t>
        </is>
      </c>
      <c r="E9" s="159" t="n">
        <v>1</v>
      </c>
      <c r="F9" s="159" t="n">
        <v>2</v>
      </c>
      <c r="G9" s="159" t="inlineStr">
        <is>
          <t>Mesa 3</t>
        </is>
      </c>
      <c r="H9" s="160" t="inlineStr">
        <is>
          <t>Celiaco</t>
        </is>
      </c>
      <c r="I9" s="160" t="inlineStr">
        <is>
          <t>55-4567-8901</t>
        </is>
      </c>
      <c r="J9" s="160" t="n"/>
    </row>
    <row r="10" ht="18" customHeight="1" s="107">
      <c r="A10" s="156" t="n">
        <v>5</v>
      </c>
      <c r="B10" s="145" t="inlineStr">
        <is>
          <t>Sánchez Torres</t>
        </is>
      </c>
      <c r="C10" s="145" t="inlineStr">
        <is>
          <t>Amigos novia</t>
        </is>
      </c>
      <c r="D10" s="162" t="inlineStr">
        <is>
          <t>No</t>
        </is>
      </c>
      <c r="E10" s="156" t="n">
        <v>0</v>
      </c>
      <c r="F10" s="156" t="n">
        <v>1</v>
      </c>
      <c r="G10" s="156" t="n"/>
      <c r="H10" s="145" t="inlineStr">
        <is>
          <t>Ninguna</t>
        </is>
      </c>
      <c r="I10" s="145" t="inlineStr">
        <is>
          <t>55-5678-9012</t>
        </is>
      </c>
      <c r="J10" s="145" t="n"/>
    </row>
    <row r="11" ht="18" customHeight="1" s="107">
      <c r="A11" s="159" t="n">
        <v>6</v>
      </c>
      <c r="B11" s="160" t="inlineStr">
        <is>
          <t>Jiménez Flores</t>
        </is>
      </c>
      <c r="C11" s="160" t="inlineStr">
        <is>
          <t>Familia García</t>
        </is>
      </c>
      <c r="D11" s="158" t="inlineStr">
        <is>
          <t>Sí</t>
        </is>
      </c>
      <c r="E11" s="159" t="n">
        <v>0</v>
      </c>
      <c r="F11" s="159" t="n">
        <v>1</v>
      </c>
      <c r="G11" s="159" t="inlineStr">
        <is>
          <t>Mesa 1</t>
        </is>
      </c>
      <c r="H11" s="160" t="inlineStr">
        <is>
          <t>Alérgico mariscos</t>
        </is>
      </c>
      <c r="I11" s="160" t="inlineStr">
        <is>
          <t>55-6789-0123</t>
        </is>
      </c>
      <c r="J11" s="160" t="n"/>
    </row>
    <row r="12" ht="18" customHeight="1" s="107">
      <c r="A12" s="156" t="n">
        <v>7</v>
      </c>
      <c r="B12" s="145" t="inlineStr">
        <is>
          <t>Morales Ruiz</t>
        </is>
      </c>
      <c r="C12" s="145" t="inlineStr">
        <is>
          <t>Amigos novio</t>
        </is>
      </c>
      <c r="D12" s="157" t="inlineStr">
        <is>
          <t>Pendiente</t>
        </is>
      </c>
      <c r="E12" s="156" t="n">
        <v>1</v>
      </c>
      <c r="F12" s="156" t="n">
        <v>2</v>
      </c>
      <c r="G12" s="156" t="n"/>
      <c r="H12" s="145" t="inlineStr">
        <is>
          <t>Ninguna</t>
        </is>
      </c>
      <c r="I12" s="145" t="inlineStr">
        <is>
          <t>55-7890-1234</t>
        </is>
      </c>
      <c r="J12" s="145" t="n"/>
    </row>
    <row r="13" ht="18" customHeight="1" s="107">
      <c r="A13" s="159" t="n">
        <v>8</v>
      </c>
      <c r="B13" s="160" t="inlineStr">
        <is>
          <t>Hernández Cruz</t>
        </is>
      </c>
      <c r="C13" s="160" t="inlineStr">
        <is>
          <t>Trabajo novia</t>
        </is>
      </c>
      <c r="D13" s="158" t="inlineStr">
        <is>
          <t>Sí</t>
        </is>
      </c>
      <c r="E13" s="159" t="n">
        <v>1</v>
      </c>
      <c r="F13" s="159" t="n">
        <v>2</v>
      </c>
      <c r="G13" s="159" t="inlineStr">
        <is>
          <t>Mesa 4</t>
        </is>
      </c>
      <c r="H13" s="160" t="inlineStr">
        <is>
          <t>Ninguna</t>
        </is>
      </c>
      <c r="I13" s="160" t="inlineStr">
        <is>
          <t>55-8901-2345</t>
        </is>
      </c>
      <c r="J13" s="160" t="n"/>
    </row>
    <row r="14" ht="18" customHeight="1" s="107">
      <c r="A14" s="156" t="n">
        <v>9</v>
      </c>
      <c r="B14" s="145" t="inlineStr">
        <is>
          <t>Vázquez Díaz</t>
        </is>
      </c>
      <c r="C14" s="145" t="inlineStr">
        <is>
          <t>Familia novia</t>
        </is>
      </c>
      <c r="D14" s="158" t="inlineStr">
        <is>
          <t>Sí</t>
        </is>
      </c>
      <c r="E14" s="156" t="n">
        <v>2</v>
      </c>
      <c r="F14" s="156" t="n">
        <v>3</v>
      </c>
      <c r="G14" s="156" t="inlineStr">
        <is>
          <t>Mesa 2</t>
        </is>
      </c>
      <c r="H14" s="145" t="inlineStr">
        <is>
          <t>Ninguna</t>
        </is>
      </c>
      <c r="I14" s="145" t="inlineStr">
        <is>
          <t>55-9012-3456</t>
        </is>
      </c>
      <c r="J14" s="145" t="n"/>
    </row>
    <row r="15" ht="18" customHeight="1" s="107">
      <c r="A15" s="159" t="n">
        <v>10</v>
      </c>
      <c r="B15" s="160" t="inlineStr">
        <is>
          <t>Reyes Moreno</t>
        </is>
      </c>
      <c r="C15" s="160" t="inlineStr">
        <is>
          <t>Amigos</t>
        </is>
      </c>
      <c r="D15" s="157" t="inlineStr">
        <is>
          <t>Pendiente</t>
        </is>
      </c>
      <c r="E15" s="159" t="n">
        <v>0</v>
      </c>
      <c r="F15" s="159" t="n">
        <v>1</v>
      </c>
      <c r="G15" s="159" t="n"/>
      <c r="H15" s="160" t="inlineStr">
        <is>
          <t>Vegetariano</t>
        </is>
      </c>
      <c r="I15" s="160" t="inlineStr">
        <is>
          <t>55-0123-4567</t>
        </is>
      </c>
      <c r="J15" s="160" t="n"/>
    </row>
    <row r="16" ht="18" customHeight="1" s="107">
      <c r="A16" s="178" t="n">
        <v>11</v>
      </c>
      <c r="B16" s="179" t="n"/>
      <c r="C16" s="179" t="n"/>
      <c r="D16" s="179" t="n"/>
      <c r="E16" s="179" t="n"/>
      <c r="F16" s="179">
        <f>IF(D16="","",E16+1)</f>
        <v/>
      </c>
      <c r="G16" s="179" t="n"/>
      <c r="H16" s="179" t="n"/>
      <c r="I16" s="179" t="n"/>
      <c r="J16" s="179" t="n"/>
    </row>
    <row r="17" ht="18" customHeight="1" s="107">
      <c r="A17" s="180" t="n">
        <v>12</v>
      </c>
      <c r="B17" s="181" t="n"/>
      <c r="C17" s="181" t="n"/>
      <c r="D17" s="181" t="n"/>
      <c r="E17" s="181" t="n"/>
      <c r="F17" s="181">
        <f>IF(D17="","",E17+1)</f>
        <v/>
      </c>
      <c r="G17" s="181" t="n"/>
      <c r="H17" s="181" t="n"/>
      <c r="I17" s="181" t="n"/>
      <c r="J17" s="181" t="n"/>
    </row>
    <row r="18" ht="18" customHeight="1" s="107">
      <c r="A18" s="178" t="n">
        <v>13</v>
      </c>
      <c r="B18" s="179" t="n"/>
      <c r="C18" s="179" t="n"/>
      <c r="D18" s="179" t="n"/>
      <c r="E18" s="179" t="n"/>
      <c r="F18" s="179">
        <f>IF(D18="","",E18+1)</f>
        <v/>
      </c>
      <c r="G18" s="179" t="n"/>
      <c r="H18" s="179" t="n"/>
      <c r="I18" s="179" t="n"/>
      <c r="J18" s="179" t="n"/>
    </row>
    <row r="19" ht="18" customHeight="1" s="107">
      <c r="A19" s="180" t="n">
        <v>14</v>
      </c>
      <c r="B19" s="181" t="n"/>
      <c r="C19" s="181" t="n"/>
      <c r="D19" s="181" t="n"/>
      <c r="E19" s="181" t="n"/>
      <c r="F19" s="181">
        <f>IF(D19="","",E19+1)</f>
        <v/>
      </c>
      <c r="G19" s="181" t="n"/>
      <c r="H19" s="181" t="n"/>
      <c r="I19" s="181" t="n"/>
      <c r="J19" s="181" t="n"/>
    </row>
    <row r="20" ht="18" customHeight="1" s="107">
      <c r="A20" s="178" t="n">
        <v>15</v>
      </c>
      <c r="B20" s="179" t="n"/>
      <c r="C20" s="179" t="n"/>
      <c r="D20" s="179" t="n"/>
      <c r="E20" s="179" t="n"/>
      <c r="F20" s="179">
        <f>IF(D20="","",E20+1)</f>
        <v/>
      </c>
      <c r="G20" s="179" t="n"/>
      <c r="H20" s="179" t="n"/>
      <c r="I20" s="179" t="n"/>
      <c r="J20" s="179" t="n"/>
    </row>
    <row r="21" ht="18" customHeight="1" s="107">
      <c r="A21" s="180" t="n">
        <v>16</v>
      </c>
      <c r="B21" s="181" t="n"/>
      <c r="C21" s="181" t="n"/>
      <c r="D21" s="181" t="n"/>
      <c r="E21" s="181" t="n"/>
      <c r="F21" s="181">
        <f>IF(D21="","",E21+1)</f>
        <v/>
      </c>
      <c r="G21" s="181" t="n"/>
      <c r="H21" s="181" t="n"/>
      <c r="I21" s="181" t="n"/>
      <c r="J21" s="181" t="n"/>
    </row>
    <row r="22" ht="18" customHeight="1" s="107">
      <c r="A22" s="178" t="n">
        <v>17</v>
      </c>
      <c r="B22" s="179" t="n"/>
      <c r="C22" s="179" t="n"/>
      <c r="D22" s="179" t="n"/>
      <c r="E22" s="179" t="n"/>
      <c r="F22" s="179">
        <f>IF(D22="","",E22+1)</f>
        <v/>
      </c>
      <c r="G22" s="179" t="n"/>
      <c r="H22" s="179" t="n"/>
      <c r="I22" s="179" t="n"/>
      <c r="J22" s="179" t="n"/>
    </row>
    <row r="23" ht="18" customHeight="1" s="107">
      <c r="A23" s="180" t="n">
        <v>18</v>
      </c>
      <c r="B23" s="181" t="n"/>
      <c r="C23" s="181" t="n"/>
      <c r="D23" s="181" t="n"/>
      <c r="E23" s="181" t="n"/>
      <c r="F23" s="181">
        <f>IF(D23="","",E23+1)</f>
        <v/>
      </c>
      <c r="G23" s="181" t="n"/>
      <c r="H23" s="181" t="n"/>
      <c r="I23" s="181" t="n"/>
      <c r="J23" s="181" t="n"/>
    </row>
    <row r="24" ht="18" customHeight="1" s="107">
      <c r="A24" s="178" t="n">
        <v>19</v>
      </c>
      <c r="B24" s="179" t="n"/>
      <c r="C24" s="179" t="n"/>
      <c r="D24" s="179" t="n"/>
      <c r="E24" s="179" t="n"/>
      <c r="F24" s="179">
        <f>IF(D24="","",E24+1)</f>
        <v/>
      </c>
      <c r="G24" s="179" t="n"/>
      <c r="H24" s="179" t="n"/>
      <c r="I24" s="179" t="n"/>
      <c r="J24" s="179" t="n"/>
    </row>
    <row r="25" ht="18" customHeight="1" s="107">
      <c r="A25" s="180" t="n">
        <v>20</v>
      </c>
      <c r="B25" s="181" t="n"/>
      <c r="C25" s="181" t="n"/>
      <c r="D25" s="181" t="n"/>
      <c r="E25" s="181" t="n"/>
      <c r="F25" s="181">
        <f>IF(D25="","",E25+1)</f>
        <v/>
      </c>
      <c r="G25" s="181" t="n"/>
      <c r="H25" s="181" t="n"/>
      <c r="I25" s="181" t="n"/>
      <c r="J25" s="181" t="n"/>
    </row>
    <row r="26" ht="18" customHeight="1" s="107">
      <c r="A26" s="178" t="n">
        <v>21</v>
      </c>
      <c r="B26" s="179" t="n"/>
      <c r="C26" s="179" t="n"/>
      <c r="D26" s="179" t="n"/>
      <c r="E26" s="179" t="n"/>
      <c r="F26" s="179">
        <f>IF(D26="","",E26+1)</f>
        <v/>
      </c>
      <c r="G26" s="179" t="n"/>
      <c r="H26" s="179" t="n"/>
      <c r="I26" s="179" t="n"/>
      <c r="J26" s="179" t="n"/>
    </row>
    <row r="27" ht="18" customHeight="1" s="107">
      <c r="A27" s="180" t="n">
        <v>22</v>
      </c>
      <c r="B27" s="181" t="n"/>
      <c r="C27" s="181" t="n"/>
      <c r="D27" s="181" t="n"/>
      <c r="E27" s="181" t="n"/>
      <c r="F27" s="181">
        <f>IF(D27="","",E27+1)</f>
        <v/>
      </c>
      <c r="G27" s="181" t="n"/>
      <c r="H27" s="181" t="n"/>
      <c r="I27" s="181" t="n"/>
      <c r="J27" s="181" t="n"/>
    </row>
    <row r="28" ht="18" customHeight="1" s="107">
      <c r="A28" s="178" t="n">
        <v>23</v>
      </c>
      <c r="B28" s="179" t="n"/>
      <c r="C28" s="179" t="n"/>
      <c r="D28" s="179" t="n"/>
      <c r="E28" s="179" t="n"/>
      <c r="F28" s="179">
        <f>IF(D28="","",E28+1)</f>
        <v/>
      </c>
      <c r="G28" s="179" t="n"/>
      <c r="H28" s="179" t="n"/>
      <c r="I28" s="179" t="n"/>
      <c r="J28" s="179" t="n"/>
    </row>
    <row r="29" ht="18" customHeight="1" s="107">
      <c r="A29" s="180" t="n">
        <v>24</v>
      </c>
      <c r="B29" s="181" t="n"/>
      <c r="C29" s="181" t="n"/>
      <c r="D29" s="181" t="n"/>
      <c r="E29" s="181" t="n"/>
      <c r="F29" s="181">
        <f>IF(D29="","",E29+1)</f>
        <v/>
      </c>
      <c r="G29" s="181" t="n"/>
      <c r="H29" s="181" t="n"/>
      <c r="I29" s="181" t="n"/>
      <c r="J29" s="181" t="n"/>
    </row>
    <row r="30" ht="18" customHeight="1" s="107">
      <c r="A30" s="178" t="n">
        <v>25</v>
      </c>
      <c r="B30" s="179" t="n"/>
      <c r="C30" s="179" t="n"/>
      <c r="D30" s="179" t="n"/>
      <c r="E30" s="179" t="n"/>
      <c r="F30" s="179">
        <f>IF(D30="","",E30+1)</f>
        <v/>
      </c>
      <c r="G30" s="179" t="n"/>
      <c r="H30" s="179" t="n"/>
      <c r="I30" s="179" t="n"/>
      <c r="J30" s="179" t="n"/>
    </row>
    <row r="31" ht="18" customHeight="1" s="107">
      <c r="A31" s="180" t="n">
        <v>26</v>
      </c>
      <c r="B31" s="181" t="n"/>
      <c r="C31" s="181" t="n"/>
      <c r="D31" s="181" t="n"/>
      <c r="E31" s="181" t="n"/>
      <c r="F31" s="181">
        <f>IF(D31="","",E31+1)</f>
        <v/>
      </c>
      <c r="G31" s="181" t="n"/>
      <c r="H31" s="181" t="n"/>
      <c r="I31" s="181" t="n"/>
      <c r="J31" s="181" t="n"/>
    </row>
    <row r="32" ht="18" customHeight="1" s="107">
      <c r="A32" s="178" t="n">
        <v>27</v>
      </c>
      <c r="B32" s="179" t="n"/>
      <c r="C32" s="179" t="n"/>
      <c r="D32" s="179" t="n"/>
      <c r="E32" s="179" t="n"/>
      <c r="F32" s="179">
        <f>IF(D32="","",E32+1)</f>
        <v/>
      </c>
      <c r="G32" s="179" t="n"/>
      <c r="H32" s="179" t="n"/>
      <c r="I32" s="179" t="n"/>
      <c r="J32" s="179" t="n"/>
    </row>
    <row r="33" ht="18" customHeight="1" s="107">
      <c r="A33" s="180" t="n">
        <v>28</v>
      </c>
      <c r="B33" s="181" t="n"/>
      <c r="C33" s="181" t="n"/>
      <c r="D33" s="181" t="n"/>
      <c r="E33" s="181" t="n"/>
      <c r="F33" s="181">
        <f>IF(D33="","",E33+1)</f>
        <v/>
      </c>
      <c r="G33" s="181" t="n"/>
      <c r="H33" s="181" t="n"/>
      <c r="I33" s="181" t="n"/>
      <c r="J33" s="181" t="n"/>
    </row>
    <row r="34" ht="18" customHeight="1" s="107">
      <c r="A34" s="178" t="n">
        <v>29</v>
      </c>
      <c r="B34" s="179" t="n"/>
      <c r="C34" s="179" t="n"/>
      <c r="D34" s="179" t="n"/>
      <c r="E34" s="179" t="n"/>
      <c r="F34" s="179">
        <f>IF(D34="","",E34+1)</f>
        <v/>
      </c>
      <c r="G34" s="179" t="n"/>
      <c r="H34" s="179" t="n"/>
      <c r="I34" s="179" t="n"/>
      <c r="J34" s="179" t="n"/>
    </row>
    <row r="35" ht="18" customHeight="1" s="107">
      <c r="A35" s="180" t="n">
        <v>30</v>
      </c>
      <c r="B35" s="181" t="n"/>
      <c r="C35" s="181" t="n"/>
      <c r="D35" s="181" t="n"/>
      <c r="E35" s="181" t="n"/>
      <c r="F35" s="181">
        <f>IF(D35="","",E35+1)</f>
        <v/>
      </c>
      <c r="G35" s="181" t="n"/>
      <c r="H35" s="181" t="n"/>
      <c r="I35" s="181" t="n"/>
      <c r="J35" s="181" t="n"/>
    </row>
    <row r="36" ht="18" customHeight="1" s="107">
      <c r="A36" s="178" t="n">
        <v>31</v>
      </c>
      <c r="B36" s="179" t="n"/>
      <c r="C36" s="179" t="n"/>
      <c r="D36" s="179" t="n"/>
      <c r="E36" s="179" t="n"/>
      <c r="F36" s="179">
        <f>IF(D36="","",E36+1)</f>
        <v/>
      </c>
      <c r="G36" s="179" t="n"/>
      <c r="H36" s="179" t="n"/>
      <c r="I36" s="179" t="n"/>
      <c r="J36" s="179" t="n"/>
    </row>
    <row r="37" ht="18" customHeight="1" s="107">
      <c r="A37" s="180" t="n">
        <v>32</v>
      </c>
      <c r="B37" s="181" t="n"/>
      <c r="C37" s="181" t="n"/>
      <c r="D37" s="181" t="n"/>
      <c r="E37" s="181" t="n"/>
      <c r="F37" s="181">
        <f>IF(D37="","",E37+1)</f>
        <v/>
      </c>
      <c r="G37" s="181" t="n"/>
      <c r="H37" s="181" t="n"/>
      <c r="I37" s="181" t="n"/>
      <c r="J37" s="181" t="n"/>
    </row>
    <row r="38" ht="18" customHeight="1" s="107">
      <c r="A38" s="178" t="n">
        <v>33</v>
      </c>
      <c r="B38" s="179" t="n"/>
      <c r="C38" s="179" t="n"/>
      <c r="D38" s="179" t="n"/>
      <c r="E38" s="179" t="n"/>
      <c r="F38" s="179">
        <f>IF(D38="","",E38+1)</f>
        <v/>
      </c>
      <c r="G38" s="179" t="n"/>
      <c r="H38" s="179" t="n"/>
      <c r="I38" s="179" t="n"/>
      <c r="J38" s="179" t="n"/>
    </row>
    <row r="39" ht="18" customHeight="1" s="107">
      <c r="A39" s="180" t="n">
        <v>34</v>
      </c>
      <c r="B39" s="181" t="n"/>
      <c r="C39" s="181" t="n"/>
      <c r="D39" s="181" t="n"/>
      <c r="E39" s="181" t="n"/>
      <c r="F39" s="181">
        <f>IF(D39="","",E39+1)</f>
        <v/>
      </c>
      <c r="G39" s="181" t="n"/>
      <c r="H39" s="181" t="n"/>
      <c r="I39" s="181" t="n"/>
      <c r="J39" s="181" t="n"/>
    </row>
    <row r="40" ht="18" customHeight="1" s="107">
      <c r="A40" s="178" t="n">
        <v>35</v>
      </c>
      <c r="B40" s="179" t="n"/>
      <c r="C40" s="179" t="n"/>
      <c r="D40" s="179" t="n"/>
      <c r="E40" s="179" t="n"/>
      <c r="F40" s="179">
        <f>IF(D40="","",E40+1)</f>
        <v/>
      </c>
      <c r="G40" s="179" t="n"/>
      <c r="H40" s="179" t="n"/>
      <c r="I40" s="179" t="n"/>
      <c r="J40" s="179" t="n"/>
    </row>
    <row r="41" ht="18" customHeight="1" s="107">
      <c r="A41" s="180" t="n">
        <v>36</v>
      </c>
      <c r="B41" s="181" t="n"/>
      <c r="C41" s="181" t="n"/>
      <c r="D41" s="181" t="n"/>
      <c r="E41" s="181" t="n"/>
      <c r="F41" s="181">
        <f>IF(D41="","",E41+1)</f>
        <v/>
      </c>
      <c r="G41" s="181" t="n"/>
      <c r="H41" s="181" t="n"/>
      <c r="I41" s="181" t="n"/>
      <c r="J41" s="181" t="n"/>
    </row>
    <row r="42" ht="18" customHeight="1" s="107">
      <c r="A42" s="178" t="n">
        <v>37</v>
      </c>
      <c r="B42" s="179" t="n"/>
      <c r="C42" s="179" t="n"/>
      <c r="D42" s="179" t="n"/>
      <c r="E42" s="179" t="n"/>
      <c r="F42" s="179">
        <f>IF(D42="","",E42+1)</f>
        <v/>
      </c>
      <c r="G42" s="179" t="n"/>
      <c r="H42" s="179" t="n"/>
      <c r="I42" s="179" t="n"/>
      <c r="J42" s="179" t="n"/>
    </row>
    <row r="43" ht="18" customHeight="1" s="107">
      <c r="A43" s="180" t="n">
        <v>38</v>
      </c>
      <c r="B43" s="181" t="n"/>
      <c r="C43" s="181" t="n"/>
      <c r="D43" s="181" t="n"/>
      <c r="E43" s="181" t="n"/>
      <c r="F43" s="181">
        <f>IF(D43="","",E43+1)</f>
        <v/>
      </c>
      <c r="G43" s="181" t="n"/>
      <c r="H43" s="181" t="n"/>
      <c r="I43" s="181" t="n"/>
      <c r="J43" s="181" t="n"/>
    </row>
    <row r="44" ht="18" customHeight="1" s="107">
      <c r="A44" s="178" t="n">
        <v>39</v>
      </c>
      <c r="B44" s="179" t="n"/>
      <c r="C44" s="179" t="n"/>
      <c r="D44" s="179" t="n"/>
      <c r="E44" s="179" t="n"/>
      <c r="F44" s="179">
        <f>IF(D44="","",E44+1)</f>
        <v/>
      </c>
      <c r="G44" s="179" t="n"/>
      <c r="H44" s="179" t="n"/>
      <c r="I44" s="179" t="n"/>
      <c r="J44" s="179" t="n"/>
    </row>
    <row r="45" ht="18" customHeight="1" s="107">
      <c r="A45" s="180" t="n">
        <v>40</v>
      </c>
      <c r="B45" s="181" t="n"/>
      <c r="C45" s="181" t="n"/>
      <c r="D45" s="181" t="n"/>
      <c r="E45" s="181" t="n"/>
      <c r="F45" s="181">
        <f>IF(D45="","",E45+1)</f>
        <v/>
      </c>
      <c r="G45" s="181" t="n"/>
      <c r="H45" s="181" t="n"/>
      <c r="I45" s="181" t="n"/>
      <c r="J45" s="181" t="n"/>
    </row>
    <row r="46" ht="18" customHeight="1" s="107">
      <c r="A46" s="178" t="n">
        <v>41</v>
      </c>
      <c r="B46" s="179" t="n"/>
      <c r="C46" s="179" t="n"/>
      <c r="D46" s="179" t="n"/>
      <c r="E46" s="179" t="n"/>
      <c r="F46" s="179">
        <f>IF(D46="","",E46+1)</f>
        <v/>
      </c>
      <c r="G46" s="179" t="n"/>
      <c r="H46" s="179" t="n"/>
      <c r="I46" s="179" t="n"/>
      <c r="J46" s="179" t="n"/>
    </row>
    <row r="47" ht="18" customHeight="1" s="107">
      <c r="A47" s="180" t="n">
        <v>42</v>
      </c>
      <c r="B47" s="181" t="n"/>
      <c r="C47" s="181" t="n"/>
      <c r="D47" s="181" t="n"/>
      <c r="E47" s="181" t="n"/>
      <c r="F47" s="181">
        <f>IF(D47="","",E47+1)</f>
        <v/>
      </c>
      <c r="G47" s="181" t="n"/>
      <c r="H47" s="181" t="n"/>
      <c r="I47" s="181" t="n"/>
      <c r="J47" s="181" t="n"/>
    </row>
    <row r="48" ht="18" customHeight="1" s="107">
      <c r="A48" s="178" t="n">
        <v>43</v>
      </c>
      <c r="B48" s="179" t="n"/>
      <c r="C48" s="179" t="n"/>
      <c r="D48" s="179" t="n"/>
      <c r="E48" s="179" t="n"/>
      <c r="F48" s="179">
        <f>IF(D48="","",E48+1)</f>
        <v/>
      </c>
      <c r="G48" s="179" t="n"/>
      <c r="H48" s="179" t="n"/>
      <c r="I48" s="179" t="n"/>
      <c r="J48" s="179" t="n"/>
    </row>
    <row r="49" ht="18" customHeight="1" s="107">
      <c r="A49" s="180" t="n">
        <v>44</v>
      </c>
      <c r="B49" s="181" t="n"/>
      <c r="C49" s="181" t="n"/>
      <c r="D49" s="181" t="n"/>
      <c r="E49" s="181" t="n"/>
      <c r="F49" s="181">
        <f>IF(D49="","",E49+1)</f>
        <v/>
      </c>
      <c r="G49" s="181" t="n"/>
      <c r="H49" s="181" t="n"/>
      <c r="I49" s="181" t="n"/>
      <c r="J49" s="181" t="n"/>
    </row>
    <row r="50" ht="18" customHeight="1" s="107">
      <c r="A50" s="178" t="n">
        <v>45</v>
      </c>
      <c r="B50" s="179" t="n"/>
      <c r="C50" s="179" t="n"/>
      <c r="D50" s="179" t="n"/>
      <c r="E50" s="179" t="n"/>
      <c r="F50" s="179">
        <f>IF(D50="","",E50+1)</f>
        <v/>
      </c>
      <c r="G50" s="179" t="n"/>
      <c r="H50" s="179" t="n"/>
      <c r="I50" s="179" t="n"/>
      <c r="J50" s="179" t="n"/>
    </row>
    <row r="51" ht="18" customHeight="1" s="107">
      <c r="A51" s="180" t="n">
        <v>46</v>
      </c>
      <c r="B51" s="181" t="n"/>
      <c r="C51" s="181" t="n"/>
      <c r="D51" s="181" t="n"/>
      <c r="E51" s="181" t="n"/>
      <c r="F51" s="181">
        <f>IF(D51="","",E51+1)</f>
        <v/>
      </c>
      <c r="G51" s="181" t="n"/>
      <c r="H51" s="181" t="n"/>
      <c r="I51" s="181" t="n"/>
      <c r="J51" s="181" t="n"/>
    </row>
    <row r="52" ht="18" customHeight="1" s="107">
      <c r="A52" s="178" t="n">
        <v>47</v>
      </c>
      <c r="B52" s="179" t="n"/>
      <c r="C52" s="179" t="n"/>
      <c r="D52" s="179" t="n"/>
      <c r="E52" s="179" t="n"/>
      <c r="F52" s="179">
        <f>IF(D52="","",E52+1)</f>
        <v/>
      </c>
      <c r="G52" s="179" t="n"/>
      <c r="H52" s="179" t="n"/>
      <c r="I52" s="179" t="n"/>
      <c r="J52" s="179" t="n"/>
    </row>
    <row r="53" ht="18" customHeight="1" s="107">
      <c r="A53" s="180" t="n">
        <v>48</v>
      </c>
      <c r="B53" s="181" t="n"/>
      <c r="C53" s="181" t="n"/>
      <c r="D53" s="181" t="n"/>
      <c r="E53" s="181" t="n"/>
      <c r="F53" s="181">
        <f>IF(D53="","",E53+1)</f>
        <v/>
      </c>
      <c r="G53" s="181" t="n"/>
      <c r="H53" s="181" t="n"/>
      <c r="I53" s="181" t="n"/>
      <c r="J53" s="181" t="n"/>
    </row>
    <row r="54" ht="18" customHeight="1" s="107">
      <c r="A54" s="178" t="n">
        <v>49</v>
      </c>
      <c r="B54" s="179" t="n"/>
      <c r="C54" s="179" t="n"/>
      <c r="D54" s="179" t="n"/>
      <c r="E54" s="179" t="n"/>
      <c r="F54" s="179">
        <f>IF(D54="","",E54+1)</f>
        <v/>
      </c>
      <c r="G54" s="179" t="n"/>
      <c r="H54" s="179" t="n"/>
      <c r="I54" s="179" t="n"/>
      <c r="J54" s="179" t="n"/>
    </row>
    <row r="55" ht="18" customHeight="1" s="107">
      <c r="A55" s="180" t="n">
        <v>50</v>
      </c>
      <c r="B55" s="181" t="n"/>
      <c r="C55" s="181" t="n"/>
      <c r="D55" s="181" t="n"/>
      <c r="E55" s="181" t="n"/>
      <c r="F55" s="181">
        <f>IF(D55="","",E55+1)</f>
        <v/>
      </c>
      <c r="G55" s="181" t="n"/>
      <c r="H55" s="181" t="n"/>
      <c r="I55" s="181" t="n"/>
      <c r="J55" s="181" t="n"/>
    </row>
    <row r="56" ht="18" customHeight="1" s="107">
      <c r="A56" s="178" t="n">
        <v>51</v>
      </c>
      <c r="B56" s="179" t="n"/>
      <c r="C56" s="179" t="n"/>
      <c r="D56" s="179" t="n"/>
      <c r="E56" s="179" t="n"/>
      <c r="F56" s="179">
        <f>IF(D56="","",E56+1)</f>
        <v/>
      </c>
      <c r="G56" s="179" t="n"/>
      <c r="H56" s="179" t="n"/>
      <c r="I56" s="179" t="n"/>
      <c r="J56" s="179" t="n"/>
    </row>
    <row r="57" ht="18" customHeight="1" s="107">
      <c r="A57" s="180" t="n">
        <v>52</v>
      </c>
      <c r="B57" s="181" t="n"/>
      <c r="C57" s="181" t="n"/>
      <c r="D57" s="181" t="n"/>
      <c r="E57" s="181" t="n"/>
      <c r="F57" s="181">
        <f>IF(D57="","",E57+1)</f>
        <v/>
      </c>
      <c r="G57" s="181" t="n"/>
      <c r="H57" s="181" t="n"/>
      <c r="I57" s="181" t="n"/>
      <c r="J57" s="181" t="n"/>
    </row>
    <row r="58" ht="18" customHeight="1" s="107">
      <c r="A58" s="178" t="n">
        <v>53</v>
      </c>
      <c r="B58" s="179" t="n"/>
      <c r="C58" s="179" t="n"/>
      <c r="D58" s="179" t="n"/>
      <c r="E58" s="179" t="n"/>
      <c r="F58" s="179">
        <f>IF(D58="","",E58+1)</f>
        <v/>
      </c>
      <c r="G58" s="179" t="n"/>
      <c r="H58" s="179" t="n"/>
      <c r="I58" s="179" t="n"/>
      <c r="J58" s="179" t="n"/>
    </row>
    <row r="59" ht="18" customHeight="1" s="107">
      <c r="A59" s="180" t="n">
        <v>54</v>
      </c>
      <c r="B59" s="181" t="n"/>
      <c r="C59" s="181" t="n"/>
      <c r="D59" s="181" t="n"/>
      <c r="E59" s="181" t="n"/>
      <c r="F59" s="181">
        <f>IF(D59="","",E59+1)</f>
        <v/>
      </c>
      <c r="G59" s="181" t="n"/>
      <c r="H59" s="181" t="n"/>
      <c r="I59" s="181" t="n"/>
      <c r="J59" s="181" t="n"/>
    </row>
    <row r="60" ht="18" customHeight="1" s="107">
      <c r="A60" s="178" t="n">
        <v>55</v>
      </c>
      <c r="B60" s="179" t="n"/>
      <c r="C60" s="179" t="n"/>
      <c r="D60" s="179" t="n"/>
      <c r="E60" s="179" t="n"/>
      <c r="F60" s="179">
        <f>IF(D60="","",E60+1)</f>
        <v/>
      </c>
      <c r="G60" s="179" t="n"/>
      <c r="H60" s="179" t="n"/>
      <c r="I60" s="179" t="n"/>
      <c r="J60" s="179" t="n"/>
    </row>
    <row r="61" ht="18" customHeight="1" s="107">
      <c r="A61" s="180" t="n">
        <v>56</v>
      </c>
      <c r="B61" s="181" t="n"/>
      <c r="C61" s="181" t="n"/>
      <c r="D61" s="181" t="n"/>
      <c r="E61" s="181" t="n"/>
      <c r="F61" s="181">
        <f>IF(D61="","",E61+1)</f>
        <v/>
      </c>
      <c r="G61" s="181" t="n"/>
      <c r="H61" s="181" t="n"/>
      <c r="I61" s="181" t="n"/>
      <c r="J61" s="181" t="n"/>
    </row>
    <row r="62" ht="18" customHeight="1" s="107">
      <c r="A62" s="178" t="n">
        <v>57</v>
      </c>
      <c r="B62" s="179" t="n"/>
      <c r="C62" s="179" t="n"/>
      <c r="D62" s="179" t="n"/>
      <c r="E62" s="179" t="n"/>
      <c r="F62" s="179">
        <f>IF(D62="","",E62+1)</f>
        <v/>
      </c>
      <c r="G62" s="179" t="n"/>
      <c r="H62" s="179" t="n"/>
      <c r="I62" s="179" t="n"/>
      <c r="J62" s="179" t="n"/>
    </row>
    <row r="63" ht="18" customHeight="1" s="107">
      <c r="A63" s="180" t="n">
        <v>58</v>
      </c>
      <c r="B63" s="181" t="n"/>
      <c r="C63" s="181" t="n"/>
      <c r="D63" s="181" t="n"/>
      <c r="E63" s="181" t="n"/>
      <c r="F63" s="181">
        <f>IF(D63="","",E63+1)</f>
        <v/>
      </c>
      <c r="G63" s="181" t="n"/>
      <c r="H63" s="181" t="n"/>
      <c r="I63" s="181" t="n"/>
      <c r="J63" s="181" t="n"/>
    </row>
    <row r="64" ht="18" customHeight="1" s="107">
      <c r="A64" s="178" t="n">
        <v>59</v>
      </c>
      <c r="B64" s="179" t="n"/>
      <c r="C64" s="179" t="n"/>
      <c r="D64" s="179" t="n"/>
      <c r="E64" s="179" t="n"/>
      <c r="F64" s="179">
        <f>IF(D64="","",E64+1)</f>
        <v/>
      </c>
      <c r="G64" s="179" t="n"/>
      <c r="H64" s="179" t="n"/>
      <c r="I64" s="179" t="n"/>
      <c r="J64" s="179" t="n"/>
    </row>
    <row r="65" ht="18" customHeight="1" s="107">
      <c r="A65" s="180" t="n">
        <v>60</v>
      </c>
      <c r="B65" s="181" t="n"/>
      <c r="C65" s="181" t="n"/>
      <c r="D65" s="181" t="n"/>
      <c r="E65" s="181" t="n"/>
      <c r="F65" s="181">
        <f>IF(D65="","",E65+1)</f>
        <v/>
      </c>
      <c r="G65" s="181" t="n"/>
      <c r="H65" s="181" t="n"/>
      <c r="I65" s="181" t="n"/>
      <c r="J65" s="181" t="n"/>
    </row>
    <row r="66" ht="18" customHeight="1" s="107">
      <c r="A66" s="178" t="n">
        <v>61</v>
      </c>
      <c r="B66" s="179" t="n"/>
      <c r="C66" s="179" t="n"/>
      <c r="D66" s="179" t="n"/>
      <c r="E66" s="179" t="n"/>
      <c r="F66" s="179">
        <f>IF(D66="","",E66+1)</f>
        <v/>
      </c>
      <c r="G66" s="179" t="n"/>
      <c r="H66" s="179" t="n"/>
      <c r="I66" s="179" t="n"/>
      <c r="J66" s="179" t="n"/>
    </row>
    <row r="67" ht="18" customHeight="1" s="107">
      <c r="A67" s="180" t="n">
        <v>62</v>
      </c>
      <c r="B67" s="181" t="n"/>
      <c r="C67" s="181" t="n"/>
      <c r="D67" s="181" t="n"/>
      <c r="E67" s="181" t="n"/>
      <c r="F67" s="181">
        <f>IF(D67="","",E67+1)</f>
        <v/>
      </c>
      <c r="G67" s="181" t="n"/>
      <c r="H67" s="181" t="n"/>
      <c r="I67" s="181" t="n"/>
      <c r="J67" s="181" t="n"/>
    </row>
    <row r="68" ht="18" customHeight="1" s="107">
      <c r="A68" s="178" t="n">
        <v>63</v>
      </c>
      <c r="B68" s="179" t="n"/>
      <c r="C68" s="179" t="n"/>
      <c r="D68" s="179" t="n"/>
      <c r="E68" s="179" t="n"/>
      <c r="F68" s="179">
        <f>IF(D68="","",E68+1)</f>
        <v/>
      </c>
      <c r="G68" s="179" t="n"/>
      <c r="H68" s="179" t="n"/>
      <c r="I68" s="179" t="n"/>
      <c r="J68" s="179" t="n"/>
    </row>
    <row r="69" ht="18" customHeight="1" s="107">
      <c r="A69" s="180" t="n">
        <v>64</v>
      </c>
      <c r="B69" s="181" t="n"/>
      <c r="C69" s="181" t="n"/>
      <c r="D69" s="181" t="n"/>
      <c r="E69" s="181" t="n"/>
      <c r="F69" s="181">
        <f>IF(D69="","",E69+1)</f>
        <v/>
      </c>
      <c r="G69" s="181" t="n"/>
      <c r="H69" s="181" t="n"/>
      <c r="I69" s="181" t="n"/>
      <c r="J69" s="181" t="n"/>
    </row>
    <row r="70" ht="18" customHeight="1" s="107">
      <c r="A70" s="178" t="n">
        <v>65</v>
      </c>
      <c r="B70" s="179" t="n"/>
      <c r="C70" s="179" t="n"/>
      <c r="D70" s="179" t="n"/>
      <c r="E70" s="179" t="n"/>
      <c r="F70" s="179">
        <f>IF(D70="","",E70+1)</f>
        <v/>
      </c>
      <c r="G70" s="179" t="n"/>
      <c r="H70" s="179" t="n"/>
      <c r="I70" s="179" t="n"/>
      <c r="J70" s="179" t="n"/>
    </row>
    <row r="71" ht="18" customHeight="1" s="107">
      <c r="A71" s="180" t="n">
        <v>66</v>
      </c>
      <c r="B71" s="181" t="n"/>
      <c r="C71" s="181" t="n"/>
      <c r="D71" s="181" t="n"/>
      <c r="E71" s="181" t="n"/>
      <c r="F71" s="181">
        <f>IF(D71="","",E71+1)</f>
        <v/>
      </c>
      <c r="G71" s="181" t="n"/>
      <c r="H71" s="181" t="n"/>
      <c r="I71" s="181" t="n"/>
      <c r="J71" s="181" t="n"/>
    </row>
    <row r="72" ht="18" customHeight="1" s="107">
      <c r="A72" s="178" t="n">
        <v>67</v>
      </c>
      <c r="B72" s="179" t="n"/>
      <c r="C72" s="179" t="n"/>
      <c r="D72" s="179" t="n"/>
      <c r="E72" s="179" t="n"/>
      <c r="F72" s="179">
        <f>IF(D72="","",E72+1)</f>
        <v/>
      </c>
      <c r="G72" s="179" t="n"/>
      <c r="H72" s="179" t="n"/>
      <c r="I72" s="179" t="n"/>
      <c r="J72" s="179" t="n"/>
    </row>
    <row r="73" ht="18" customHeight="1" s="107">
      <c r="A73" s="180" t="n">
        <v>68</v>
      </c>
      <c r="B73" s="181" t="n"/>
      <c r="C73" s="181" t="n"/>
      <c r="D73" s="181" t="n"/>
      <c r="E73" s="181" t="n"/>
      <c r="F73" s="181">
        <f>IF(D73="","",E73+1)</f>
        <v/>
      </c>
      <c r="G73" s="181" t="n"/>
      <c r="H73" s="181" t="n"/>
      <c r="I73" s="181" t="n"/>
      <c r="J73" s="181" t="n"/>
    </row>
    <row r="74" ht="18" customHeight="1" s="107">
      <c r="A74" s="178" t="n">
        <v>69</v>
      </c>
      <c r="B74" s="179" t="n"/>
      <c r="C74" s="179" t="n"/>
      <c r="D74" s="179" t="n"/>
      <c r="E74" s="179" t="n"/>
      <c r="F74" s="179">
        <f>IF(D74="","",E74+1)</f>
        <v/>
      </c>
      <c r="G74" s="179" t="n"/>
      <c r="H74" s="179" t="n"/>
      <c r="I74" s="179" t="n"/>
      <c r="J74" s="179" t="n"/>
    </row>
    <row r="75" ht="18" customHeight="1" s="107">
      <c r="A75" s="180" t="n">
        <v>70</v>
      </c>
      <c r="B75" s="181" t="n"/>
      <c r="C75" s="181" t="n"/>
      <c r="D75" s="181" t="n"/>
      <c r="E75" s="181" t="n"/>
      <c r="F75" s="181">
        <f>IF(D75="","",E75+1)</f>
        <v/>
      </c>
      <c r="G75" s="181" t="n"/>
      <c r="H75" s="181" t="n"/>
      <c r="I75" s="181" t="n"/>
      <c r="J75" s="181" t="n"/>
    </row>
    <row r="76" ht="18" customHeight="1" s="107">
      <c r="A76" s="178" t="n">
        <v>71</v>
      </c>
      <c r="B76" s="179" t="n"/>
      <c r="C76" s="179" t="n"/>
      <c r="D76" s="179" t="n"/>
      <c r="E76" s="179" t="n"/>
      <c r="F76" s="179">
        <f>IF(D76="","",E76+1)</f>
        <v/>
      </c>
      <c r="G76" s="179" t="n"/>
      <c r="H76" s="179" t="n"/>
      <c r="I76" s="179" t="n"/>
      <c r="J76" s="179" t="n"/>
    </row>
    <row r="77" ht="18" customHeight="1" s="107">
      <c r="A77" s="180" t="n">
        <v>72</v>
      </c>
      <c r="B77" s="181" t="n"/>
      <c r="C77" s="181" t="n"/>
      <c r="D77" s="181" t="n"/>
      <c r="E77" s="181" t="n"/>
      <c r="F77" s="181">
        <f>IF(D77="","",E77+1)</f>
        <v/>
      </c>
      <c r="G77" s="181" t="n"/>
      <c r="H77" s="181" t="n"/>
      <c r="I77" s="181" t="n"/>
      <c r="J77" s="181" t="n"/>
    </row>
    <row r="78" ht="18" customHeight="1" s="107">
      <c r="A78" s="178" t="n">
        <v>73</v>
      </c>
      <c r="B78" s="179" t="n"/>
      <c r="C78" s="179" t="n"/>
      <c r="D78" s="179" t="n"/>
      <c r="E78" s="179" t="n"/>
      <c r="F78" s="179">
        <f>IF(D78="","",E78+1)</f>
        <v/>
      </c>
      <c r="G78" s="179" t="n"/>
      <c r="H78" s="179" t="n"/>
      <c r="I78" s="179" t="n"/>
      <c r="J78" s="179" t="n"/>
    </row>
    <row r="79" ht="18" customHeight="1" s="107">
      <c r="A79" s="180" t="n">
        <v>74</v>
      </c>
      <c r="B79" s="181" t="n"/>
      <c r="C79" s="181" t="n"/>
      <c r="D79" s="181" t="n"/>
      <c r="E79" s="181" t="n"/>
      <c r="F79" s="181">
        <f>IF(D79="","",E79+1)</f>
        <v/>
      </c>
      <c r="G79" s="181" t="n"/>
      <c r="H79" s="181" t="n"/>
      <c r="I79" s="181" t="n"/>
      <c r="J79" s="181" t="n"/>
    </row>
    <row r="80" ht="18" customHeight="1" s="107">
      <c r="A80" s="178" t="n">
        <v>75</v>
      </c>
      <c r="B80" s="179" t="n"/>
      <c r="C80" s="179" t="n"/>
      <c r="D80" s="179" t="n"/>
      <c r="E80" s="179" t="n"/>
      <c r="F80" s="179">
        <f>IF(D80="","",E80+1)</f>
        <v/>
      </c>
      <c r="G80" s="179" t="n"/>
      <c r="H80" s="179" t="n"/>
      <c r="I80" s="179" t="n"/>
      <c r="J80" s="179" t="n"/>
    </row>
    <row r="81" ht="18" customHeight="1" s="107">
      <c r="A81" s="180" t="n">
        <v>76</v>
      </c>
      <c r="B81" s="181" t="n"/>
      <c r="C81" s="181" t="n"/>
      <c r="D81" s="181" t="n"/>
      <c r="E81" s="181" t="n"/>
      <c r="F81" s="181">
        <f>IF(D81="","",E81+1)</f>
        <v/>
      </c>
      <c r="G81" s="181" t="n"/>
      <c r="H81" s="181" t="n"/>
      <c r="I81" s="181" t="n"/>
      <c r="J81" s="181" t="n"/>
    </row>
    <row r="82" ht="18" customHeight="1" s="107">
      <c r="A82" s="178" t="n">
        <v>77</v>
      </c>
      <c r="B82" s="179" t="n"/>
      <c r="C82" s="179" t="n"/>
      <c r="D82" s="179" t="n"/>
      <c r="E82" s="179" t="n"/>
      <c r="F82" s="179">
        <f>IF(D82="","",E82+1)</f>
        <v/>
      </c>
      <c r="G82" s="179" t="n"/>
      <c r="H82" s="179" t="n"/>
      <c r="I82" s="179" t="n"/>
      <c r="J82" s="179" t="n"/>
    </row>
    <row r="83" ht="18" customHeight="1" s="107">
      <c r="A83" s="180" t="n">
        <v>78</v>
      </c>
      <c r="B83" s="181" t="n"/>
      <c r="C83" s="181" t="n"/>
      <c r="D83" s="181" t="n"/>
      <c r="E83" s="181" t="n"/>
      <c r="F83" s="181">
        <f>IF(D83="","",E83+1)</f>
        <v/>
      </c>
      <c r="G83" s="181" t="n"/>
      <c r="H83" s="181" t="n"/>
      <c r="I83" s="181" t="n"/>
      <c r="J83" s="181" t="n"/>
    </row>
    <row r="84" ht="18" customHeight="1" s="107">
      <c r="A84" s="178" t="n">
        <v>79</v>
      </c>
      <c r="B84" s="179" t="n"/>
      <c r="C84" s="179" t="n"/>
      <c r="D84" s="179" t="n"/>
      <c r="E84" s="179" t="n"/>
      <c r="F84" s="179">
        <f>IF(D84="","",E84+1)</f>
        <v/>
      </c>
      <c r="G84" s="179" t="n"/>
      <c r="H84" s="179" t="n"/>
      <c r="I84" s="179" t="n"/>
      <c r="J84" s="179" t="n"/>
    </row>
    <row r="85" ht="18" customHeight="1" s="107">
      <c r="A85" s="180" t="n">
        <v>80</v>
      </c>
      <c r="B85" s="181" t="n"/>
      <c r="C85" s="181" t="n"/>
      <c r="D85" s="181" t="n"/>
      <c r="E85" s="181" t="n"/>
      <c r="F85" s="181">
        <f>IF(D85="","",E85+1)</f>
        <v/>
      </c>
      <c r="G85" s="181" t="n"/>
      <c r="H85" s="181" t="n"/>
      <c r="I85" s="181" t="n"/>
      <c r="J85" s="181" t="n"/>
    </row>
    <row r="86" ht="18" customHeight="1" s="107">
      <c r="A86" s="178" t="n">
        <v>81</v>
      </c>
      <c r="B86" s="179" t="n"/>
      <c r="C86" s="179" t="n"/>
      <c r="D86" s="179" t="n"/>
      <c r="E86" s="179" t="n"/>
      <c r="F86" s="179">
        <f>IF(D86="","",E86+1)</f>
        <v/>
      </c>
      <c r="G86" s="179" t="n"/>
      <c r="H86" s="179" t="n"/>
      <c r="I86" s="179" t="n"/>
      <c r="J86" s="179" t="n"/>
    </row>
    <row r="87" ht="18" customHeight="1" s="107">
      <c r="A87" s="180" t="n">
        <v>82</v>
      </c>
      <c r="B87" s="181" t="n"/>
      <c r="C87" s="181" t="n"/>
      <c r="D87" s="181" t="n"/>
      <c r="E87" s="181" t="n"/>
      <c r="F87" s="181">
        <f>IF(D87="","",E87+1)</f>
        <v/>
      </c>
      <c r="G87" s="181" t="n"/>
      <c r="H87" s="181" t="n"/>
      <c r="I87" s="181" t="n"/>
      <c r="J87" s="181" t="n"/>
    </row>
    <row r="88" ht="18" customHeight="1" s="107">
      <c r="A88" s="178" t="n">
        <v>83</v>
      </c>
      <c r="B88" s="179" t="n"/>
      <c r="C88" s="179" t="n"/>
      <c r="D88" s="179" t="n"/>
      <c r="E88" s="179" t="n"/>
      <c r="F88" s="179">
        <f>IF(D88="","",E88+1)</f>
        <v/>
      </c>
      <c r="G88" s="179" t="n"/>
      <c r="H88" s="179" t="n"/>
      <c r="I88" s="179" t="n"/>
      <c r="J88" s="179" t="n"/>
    </row>
    <row r="89" ht="18" customHeight="1" s="107">
      <c r="A89" s="180" t="n">
        <v>84</v>
      </c>
      <c r="B89" s="181" t="n"/>
      <c r="C89" s="181" t="n"/>
      <c r="D89" s="181" t="n"/>
      <c r="E89" s="181" t="n"/>
      <c r="F89" s="181">
        <f>IF(D89="","",E89+1)</f>
        <v/>
      </c>
      <c r="G89" s="181" t="n"/>
      <c r="H89" s="181" t="n"/>
      <c r="I89" s="181" t="n"/>
      <c r="J89" s="181" t="n"/>
    </row>
    <row r="90" ht="18" customHeight="1" s="107">
      <c r="A90" s="178" t="n">
        <v>85</v>
      </c>
      <c r="B90" s="179" t="n"/>
      <c r="C90" s="179" t="n"/>
      <c r="D90" s="179" t="n"/>
      <c r="E90" s="179" t="n"/>
      <c r="F90" s="179">
        <f>IF(D90="","",E90+1)</f>
        <v/>
      </c>
      <c r="G90" s="179" t="n"/>
      <c r="H90" s="179" t="n"/>
      <c r="I90" s="179" t="n"/>
      <c r="J90" s="179" t="n"/>
    </row>
    <row r="91" ht="18" customHeight="1" s="107">
      <c r="A91" s="180" t="n">
        <v>86</v>
      </c>
      <c r="B91" s="181" t="n"/>
      <c r="C91" s="181" t="n"/>
      <c r="D91" s="181" t="n"/>
      <c r="E91" s="181" t="n"/>
      <c r="F91" s="181">
        <f>IF(D91="","",E91+1)</f>
        <v/>
      </c>
      <c r="G91" s="181" t="n"/>
      <c r="H91" s="181" t="n"/>
      <c r="I91" s="181" t="n"/>
      <c r="J91" s="181" t="n"/>
    </row>
    <row r="92" ht="18" customHeight="1" s="107">
      <c r="A92" s="178" t="n">
        <v>87</v>
      </c>
      <c r="B92" s="179" t="n"/>
      <c r="C92" s="179" t="n"/>
      <c r="D92" s="179" t="n"/>
      <c r="E92" s="179" t="n"/>
      <c r="F92" s="179">
        <f>IF(D92="","",E92+1)</f>
        <v/>
      </c>
      <c r="G92" s="179" t="n"/>
      <c r="H92" s="179" t="n"/>
      <c r="I92" s="179" t="n"/>
      <c r="J92" s="179" t="n"/>
    </row>
    <row r="93" ht="18" customHeight="1" s="107">
      <c r="A93" s="180" t="n">
        <v>88</v>
      </c>
      <c r="B93" s="181" t="n"/>
      <c r="C93" s="181" t="n"/>
      <c r="D93" s="181" t="n"/>
      <c r="E93" s="181" t="n"/>
      <c r="F93" s="181">
        <f>IF(D93="","",E93+1)</f>
        <v/>
      </c>
      <c r="G93" s="181" t="n"/>
      <c r="H93" s="181" t="n"/>
      <c r="I93" s="181" t="n"/>
      <c r="J93" s="181" t="n"/>
    </row>
    <row r="94" ht="18" customHeight="1" s="107">
      <c r="A94" s="178" t="n">
        <v>89</v>
      </c>
      <c r="B94" s="179" t="n"/>
      <c r="C94" s="179" t="n"/>
      <c r="D94" s="179" t="n"/>
      <c r="E94" s="179" t="n"/>
      <c r="F94" s="179">
        <f>IF(D94="","",E94+1)</f>
        <v/>
      </c>
      <c r="G94" s="179" t="n"/>
      <c r="H94" s="179" t="n"/>
      <c r="I94" s="179" t="n"/>
      <c r="J94" s="179" t="n"/>
    </row>
    <row r="95" ht="18" customHeight="1" s="107">
      <c r="A95" s="180" t="n">
        <v>90</v>
      </c>
      <c r="B95" s="181" t="n"/>
      <c r="C95" s="181" t="n"/>
      <c r="D95" s="181" t="n"/>
      <c r="E95" s="181" t="n"/>
      <c r="F95" s="181">
        <f>IF(D95="","",E95+1)</f>
        <v/>
      </c>
      <c r="G95" s="181" t="n"/>
      <c r="H95" s="181" t="n"/>
      <c r="I95" s="181" t="n"/>
      <c r="J95" s="181" t="n"/>
    </row>
    <row r="96" ht="18" customHeight="1" s="107">
      <c r="A96" s="178" t="n">
        <v>91</v>
      </c>
      <c r="B96" s="179" t="n"/>
      <c r="C96" s="179" t="n"/>
      <c r="D96" s="179" t="n"/>
      <c r="E96" s="179" t="n"/>
      <c r="F96" s="179">
        <f>IF(D96="","",E96+1)</f>
        <v/>
      </c>
      <c r="G96" s="179" t="n"/>
      <c r="H96" s="179" t="n"/>
      <c r="I96" s="179" t="n"/>
      <c r="J96" s="179" t="n"/>
    </row>
    <row r="97" ht="18" customHeight="1" s="107">
      <c r="A97" s="180" t="n">
        <v>92</v>
      </c>
      <c r="B97" s="181" t="n"/>
      <c r="C97" s="181" t="n"/>
      <c r="D97" s="181" t="n"/>
      <c r="E97" s="181" t="n"/>
      <c r="F97" s="181">
        <f>IF(D97="","",E97+1)</f>
        <v/>
      </c>
      <c r="G97" s="181" t="n"/>
      <c r="H97" s="181" t="n"/>
      <c r="I97" s="181" t="n"/>
      <c r="J97" s="181" t="n"/>
    </row>
    <row r="98" ht="18" customHeight="1" s="107">
      <c r="A98" s="178" t="n">
        <v>93</v>
      </c>
      <c r="B98" s="179" t="n"/>
      <c r="C98" s="179" t="n"/>
      <c r="D98" s="179" t="n"/>
      <c r="E98" s="179" t="n"/>
      <c r="F98" s="179">
        <f>IF(D98="","",E98+1)</f>
        <v/>
      </c>
      <c r="G98" s="179" t="n"/>
      <c r="H98" s="179" t="n"/>
      <c r="I98" s="179" t="n"/>
      <c r="J98" s="179" t="n"/>
    </row>
    <row r="99" ht="18" customHeight="1" s="107">
      <c r="A99" s="180" t="n">
        <v>94</v>
      </c>
      <c r="B99" s="181" t="n"/>
      <c r="C99" s="181" t="n"/>
      <c r="D99" s="181" t="n"/>
      <c r="E99" s="181" t="n"/>
      <c r="F99" s="181">
        <f>IF(D99="","",E99+1)</f>
        <v/>
      </c>
      <c r="G99" s="181" t="n"/>
      <c r="H99" s="181" t="n"/>
      <c r="I99" s="181" t="n"/>
      <c r="J99" s="181" t="n"/>
    </row>
    <row r="100" ht="18" customHeight="1" s="107">
      <c r="A100" s="178" t="n">
        <v>95</v>
      </c>
      <c r="B100" s="179" t="n"/>
      <c r="C100" s="179" t="n"/>
      <c r="D100" s="179" t="n"/>
      <c r="E100" s="179" t="n"/>
      <c r="F100" s="179">
        <f>IF(D100="","",E100+1)</f>
        <v/>
      </c>
      <c r="G100" s="179" t="n"/>
      <c r="H100" s="179" t="n"/>
      <c r="I100" s="179" t="n"/>
      <c r="J100" s="179" t="n"/>
    </row>
    <row r="101" ht="18" customHeight="1" s="107">
      <c r="A101" s="180" t="n">
        <v>96</v>
      </c>
      <c r="B101" s="181" t="n"/>
      <c r="C101" s="181" t="n"/>
      <c r="D101" s="181" t="n"/>
      <c r="E101" s="181" t="n"/>
      <c r="F101" s="181">
        <f>IF(D101="","",E101+1)</f>
        <v/>
      </c>
      <c r="G101" s="181" t="n"/>
      <c r="H101" s="181" t="n"/>
      <c r="I101" s="181" t="n"/>
      <c r="J101" s="181" t="n"/>
    </row>
    <row r="102" ht="18" customHeight="1" s="107">
      <c r="A102" s="178" t="n">
        <v>97</v>
      </c>
      <c r="B102" s="179" t="n"/>
      <c r="C102" s="179" t="n"/>
      <c r="D102" s="179" t="n"/>
      <c r="E102" s="179" t="n"/>
      <c r="F102" s="179">
        <f>IF(D102="","",E102+1)</f>
        <v/>
      </c>
      <c r="G102" s="179" t="n"/>
      <c r="H102" s="179" t="n"/>
      <c r="I102" s="179" t="n"/>
      <c r="J102" s="179" t="n"/>
    </row>
    <row r="103" ht="18" customHeight="1" s="107">
      <c r="A103" s="180" t="n">
        <v>98</v>
      </c>
      <c r="B103" s="181" t="n"/>
      <c r="C103" s="181" t="n"/>
      <c r="D103" s="181" t="n"/>
      <c r="E103" s="181" t="n"/>
      <c r="F103" s="181">
        <f>IF(D103="","",E103+1)</f>
        <v/>
      </c>
      <c r="G103" s="181" t="n"/>
      <c r="H103" s="181" t="n"/>
      <c r="I103" s="181" t="n"/>
      <c r="J103" s="181" t="n"/>
    </row>
    <row r="104" ht="18" customHeight="1" s="107">
      <c r="A104" s="178" t="n">
        <v>99</v>
      </c>
      <c r="B104" s="179" t="n"/>
      <c r="C104" s="179" t="n"/>
      <c r="D104" s="179" t="n"/>
      <c r="E104" s="179" t="n"/>
      <c r="F104" s="179">
        <f>IF(D104="","",E104+1)</f>
        <v/>
      </c>
      <c r="G104" s="179" t="n"/>
      <c r="H104" s="179" t="n"/>
      <c r="I104" s="179" t="n"/>
      <c r="J104" s="179" t="n"/>
    </row>
    <row r="105" ht="18" customHeight="1" s="107">
      <c r="A105" s="180" t="n">
        <v>100</v>
      </c>
      <c r="B105" s="181" t="n"/>
      <c r="C105" s="181" t="n"/>
      <c r="D105" s="181" t="n"/>
      <c r="E105" s="181" t="n"/>
      <c r="F105" s="181">
        <f>IF(D105="","",E105+1)</f>
        <v/>
      </c>
      <c r="G105" s="181" t="n"/>
      <c r="H105" s="181" t="n"/>
      <c r="I105" s="181" t="n"/>
      <c r="J105" s="181" t="n"/>
    </row>
    <row r="106" ht="18" customHeight="1" s="107">
      <c r="A106" s="178" t="n">
        <v>101</v>
      </c>
      <c r="B106" s="179" t="n"/>
      <c r="C106" s="179" t="n"/>
      <c r="D106" s="179" t="n"/>
      <c r="E106" s="179" t="n"/>
      <c r="F106" s="179">
        <f>IF(D106="","",E106+1)</f>
        <v/>
      </c>
      <c r="G106" s="179" t="n"/>
      <c r="H106" s="179" t="n"/>
      <c r="I106" s="179" t="n"/>
      <c r="J106" s="179" t="n"/>
    </row>
    <row r="107" ht="18" customHeight="1" s="107">
      <c r="A107" s="180" t="n">
        <v>102</v>
      </c>
      <c r="B107" s="181" t="n"/>
      <c r="C107" s="181" t="n"/>
      <c r="D107" s="181" t="n"/>
      <c r="E107" s="181" t="n"/>
      <c r="F107" s="181">
        <f>IF(D107="","",E107+1)</f>
        <v/>
      </c>
      <c r="G107" s="181" t="n"/>
      <c r="H107" s="181" t="n"/>
      <c r="I107" s="181" t="n"/>
      <c r="J107" s="181" t="n"/>
    </row>
    <row r="108" ht="18" customHeight="1" s="107">
      <c r="A108" s="178" t="n">
        <v>103</v>
      </c>
      <c r="B108" s="179" t="n"/>
      <c r="C108" s="179" t="n"/>
      <c r="D108" s="179" t="n"/>
      <c r="E108" s="179" t="n"/>
      <c r="F108" s="179">
        <f>IF(D108="","",E108+1)</f>
        <v/>
      </c>
      <c r="G108" s="179" t="n"/>
      <c r="H108" s="179" t="n"/>
      <c r="I108" s="179" t="n"/>
      <c r="J108" s="179" t="n"/>
    </row>
    <row r="109" ht="18" customHeight="1" s="107">
      <c r="A109" s="180" t="n">
        <v>104</v>
      </c>
      <c r="B109" s="181" t="n"/>
      <c r="C109" s="181" t="n"/>
      <c r="D109" s="181" t="n"/>
      <c r="E109" s="181" t="n"/>
      <c r="F109" s="181">
        <f>IF(D109="","",E109+1)</f>
        <v/>
      </c>
      <c r="G109" s="181" t="n"/>
      <c r="H109" s="181" t="n"/>
      <c r="I109" s="181" t="n"/>
      <c r="J109" s="181" t="n"/>
    </row>
    <row r="110" ht="18" customHeight="1" s="107">
      <c r="A110" s="178" t="n">
        <v>105</v>
      </c>
      <c r="B110" s="179" t="n"/>
      <c r="C110" s="179" t="n"/>
      <c r="D110" s="179" t="n"/>
      <c r="E110" s="179" t="n"/>
      <c r="F110" s="179">
        <f>IF(D110="","",E110+1)</f>
        <v/>
      </c>
      <c r="G110" s="179" t="n"/>
      <c r="H110" s="179" t="n"/>
      <c r="I110" s="179" t="n"/>
      <c r="J110" s="179" t="n"/>
    </row>
    <row r="111" ht="18" customHeight="1" s="107">
      <c r="A111" s="180" t="n">
        <v>106</v>
      </c>
      <c r="B111" s="181" t="n"/>
      <c r="C111" s="181" t="n"/>
      <c r="D111" s="181" t="n"/>
      <c r="E111" s="181" t="n"/>
      <c r="F111" s="181">
        <f>IF(D111="","",E111+1)</f>
        <v/>
      </c>
      <c r="G111" s="181" t="n"/>
      <c r="H111" s="181" t="n"/>
      <c r="I111" s="181" t="n"/>
      <c r="J111" s="181" t="n"/>
    </row>
    <row r="112" ht="18" customHeight="1" s="107">
      <c r="A112" s="178" t="n">
        <v>107</v>
      </c>
      <c r="B112" s="179" t="n"/>
      <c r="C112" s="179" t="n"/>
      <c r="D112" s="179" t="n"/>
      <c r="E112" s="179" t="n"/>
      <c r="F112" s="179">
        <f>IF(D112="","",E112+1)</f>
        <v/>
      </c>
      <c r="G112" s="179" t="n"/>
      <c r="H112" s="179" t="n"/>
      <c r="I112" s="179" t="n"/>
      <c r="J112" s="179" t="n"/>
    </row>
    <row r="113" ht="18" customHeight="1" s="107">
      <c r="A113" s="180" t="n">
        <v>108</v>
      </c>
      <c r="B113" s="181" t="n"/>
      <c r="C113" s="181" t="n"/>
      <c r="D113" s="181" t="n"/>
      <c r="E113" s="181" t="n"/>
      <c r="F113" s="181">
        <f>IF(D113="","",E113+1)</f>
        <v/>
      </c>
      <c r="G113" s="181" t="n"/>
      <c r="H113" s="181" t="n"/>
      <c r="I113" s="181" t="n"/>
      <c r="J113" s="181" t="n"/>
    </row>
    <row r="114" ht="18" customHeight="1" s="107">
      <c r="A114" s="178" t="n">
        <v>109</v>
      </c>
      <c r="B114" s="179" t="n"/>
      <c r="C114" s="179" t="n"/>
      <c r="D114" s="179" t="n"/>
      <c r="E114" s="179" t="n"/>
      <c r="F114" s="179">
        <f>IF(D114="","",E114+1)</f>
        <v/>
      </c>
      <c r="G114" s="179" t="n"/>
      <c r="H114" s="179" t="n"/>
      <c r="I114" s="179" t="n"/>
      <c r="J114" s="179" t="n"/>
    </row>
    <row r="115" ht="18" customHeight="1" s="107">
      <c r="A115" s="180" t="n">
        <v>110</v>
      </c>
      <c r="B115" s="181" t="n"/>
      <c r="C115" s="181" t="n"/>
      <c r="D115" s="181" t="n"/>
      <c r="E115" s="181" t="n"/>
      <c r="F115" s="181">
        <f>IF(D115="","",E115+1)</f>
        <v/>
      </c>
      <c r="G115" s="181" t="n"/>
      <c r="H115" s="181" t="n"/>
      <c r="I115" s="181" t="n"/>
      <c r="J115" s="181" t="n"/>
    </row>
    <row r="116" ht="18" customHeight="1" s="107">
      <c r="A116" s="178" t="n">
        <v>111</v>
      </c>
      <c r="B116" s="179" t="n"/>
      <c r="C116" s="179" t="n"/>
      <c r="D116" s="179" t="n"/>
      <c r="E116" s="179" t="n"/>
      <c r="F116" s="179">
        <f>IF(D116="","",E116+1)</f>
        <v/>
      </c>
      <c r="G116" s="179" t="n"/>
      <c r="H116" s="179" t="n"/>
      <c r="I116" s="179" t="n"/>
      <c r="J116" s="179" t="n"/>
    </row>
    <row r="117" ht="18" customHeight="1" s="107">
      <c r="A117" s="180" t="n">
        <v>112</v>
      </c>
      <c r="B117" s="181" t="n"/>
      <c r="C117" s="181" t="n"/>
      <c r="D117" s="181" t="n"/>
      <c r="E117" s="181" t="n"/>
      <c r="F117" s="181">
        <f>IF(D117="","",E117+1)</f>
        <v/>
      </c>
      <c r="G117" s="181" t="n"/>
      <c r="H117" s="181" t="n"/>
      <c r="I117" s="181" t="n"/>
      <c r="J117" s="181" t="n"/>
    </row>
    <row r="118" ht="18" customHeight="1" s="107">
      <c r="A118" s="178" t="n">
        <v>113</v>
      </c>
      <c r="B118" s="179" t="n"/>
      <c r="C118" s="179" t="n"/>
      <c r="D118" s="179" t="n"/>
      <c r="E118" s="179" t="n"/>
      <c r="F118" s="179">
        <f>IF(D118="","",E118+1)</f>
        <v/>
      </c>
      <c r="G118" s="179" t="n"/>
      <c r="H118" s="179" t="n"/>
      <c r="I118" s="179" t="n"/>
      <c r="J118" s="179" t="n"/>
    </row>
    <row r="119" ht="18" customHeight="1" s="107">
      <c r="A119" s="180" t="n">
        <v>114</v>
      </c>
      <c r="B119" s="181" t="n"/>
      <c r="C119" s="181" t="n"/>
      <c r="D119" s="181" t="n"/>
      <c r="E119" s="181" t="n"/>
      <c r="F119" s="181">
        <f>IF(D119="","",E119+1)</f>
        <v/>
      </c>
      <c r="G119" s="181" t="n"/>
      <c r="H119" s="181" t="n"/>
      <c r="I119" s="181" t="n"/>
      <c r="J119" s="181" t="n"/>
    </row>
    <row r="120" ht="18" customHeight="1" s="107">
      <c r="A120" s="178" t="n">
        <v>115</v>
      </c>
      <c r="B120" s="179" t="n"/>
      <c r="C120" s="179" t="n"/>
      <c r="D120" s="179" t="n"/>
      <c r="E120" s="179" t="n"/>
      <c r="F120" s="179">
        <f>IF(D120="","",E120+1)</f>
        <v/>
      </c>
      <c r="G120" s="179" t="n"/>
      <c r="H120" s="179" t="n"/>
      <c r="I120" s="179" t="n"/>
      <c r="J120" s="179" t="n"/>
    </row>
    <row r="121" ht="18" customHeight="1" s="107">
      <c r="A121" s="180" t="n">
        <v>116</v>
      </c>
      <c r="B121" s="181" t="n"/>
      <c r="C121" s="181" t="n"/>
      <c r="D121" s="181" t="n"/>
      <c r="E121" s="181" t="n"/>
      <c r="F121" s="181">
        <f>IF(D121="","",E121+1)</f>
        <v/>
      </c>
      <c r="G121" s="181" t="n"/>
      <c r="H121" s="181" t="n"/>
      <c r="I121" s="181" t="n"/>
      <c r="J121" s="181" t="n"/>
    </row>
    <row r="122" ht="18" customHeight="1" s="107">
      <c r="A122" s="178" t="n">
        <v>117</v>
      </c>
      <c r="B122" s="179" t="n"/>
      <c r="C122" s="179" t="n"/>
      <c r="D122" s="179" t="n"/>
      <c r="E122" s="179" t="n"/>
      <c r="F122" s="179">
        <f>IF(D122="","",E122+1)</f>
        <v/>
      </c>
      <c r="G122" s="179" t="n"/>
      <c r="H122" s="179" t="n"/>
      <c r="I122" s="179" t="n"/>
      <c r="J122" s="179" t="n"/>
    </row>
    <row r="123" ht="18" customHeight="1" s="107">
      <c r="A123" s="180" t="n">
        <v>118</v>
      </c>
      <c r="B123" s="181" t="n"/>
      <c r="C123" s="181" t="n"/>
      <c r="D123" s="181" t="n"/>
      <c r="E123" s="181" t="n"/>
      <c r="F123" s="181">
        <f>IF(D123="","",E123+1)</f>
        <v/>
      </c>
      <c r="G123" s="181" t="n"/>
      <c r="H123" s="181" t="n"/>
      <c r="I123" s="181" t="n"/>
      <c r="J123" s="181" t="n"/>
    </row>
    <row r="124" ht="18" customHeight="1" s="107">
      <c r="A124" s="178" t="n">
        <v>119</v>
      </c>
      <c r="B124" s="179" t="n"/>
      <c r="C124" s="179" t="n"/>
      <c r="D124" s="179" t="n"/>
      <c r="E124" s="179" t="n"/>
      <c r="F124" s="179">
        <f>IF(D124="","",E124+1)</f>
        <v/>
      </c>
      <c r="G124" s="179" t="n"/>
      <c r="H124" s="179" t="n"/>
      <c r="I124" s="179" t="n"/>
      <c r="J124" s="179" t="n"/>
    </row>
    <row r="125" ht="18" customHeight="1" s="107">
      <c r="A125" s="180" t="n">
        <v>120</v>
      </c>
      <c r="B125" s="181" t="n"/>
      <c r="C125" s="181" t="n"/>
      <c r="D125" s="181" t="n"/>
      <c r="E125" s="181" t="n"/>
      <c r="F125" s="181">
        <f>IF(D125="","",E125+1)</f>
        <v/>
      </c>
      <c r="G125" s="181" t="n"/>
      <c r="H125" s="181" t="n"/>
      <c r="I125" s="181" t="n"/>
      <c r="J125" s="181" t="n"/>
    </row>
    <row r="126" ht="18" customHeight="1" s="107">
      <c r="A126" s="178" t="n">
        <v>121</v>
      </c>
      <c r="B126" s="179" t="n"/>
      <c r="C126" s="179" t="n"/>
      <c r="D126" s="179" t="n"/>
      <c r="E126" s="179" t="n"/>
      <c r="F126" s="179">
        <f>IF(D126="","",E126+1)</f>
        <v/>
      </c>
      <c r="G126" s="179" t="n"/>
      <c r="H126" s="179" t="n"/>
      <c r="I126" s="179" t="n"/>
      <c r="J126" s="179" t="n"/>
    </row>
    <row r="127" ht="18" customHeight="1" s="107">
      <c r="A127" s="180" t="n">
        <v>122</v>
      </c>
      <c r="B127" s="181" t="n"/>
      <c r="C127" s="181" t="n"/>
      <c r="D127" s="181" t="n"/>
      <c r="E127" s="181" t="n"/>
      <c r="F127" s="181">
        <f>IF(D127="","",E127+1)</f>
        <v/>
      </c>
      <c r="G127" s="181" t="n"/>
      <c r="H127" s="181" t="n"/>
      <c r="I127" s="181" t="n"/>
      <c r="J127" s="181" t="n"/>
    </row>
    <row r="128" ht="18" customHeight="1" s="107">
      <c r="A128" s="178" t="n">
        <v>123</v>
      </c>
      <c r="B128" s="179" t="n"/>
      <c r="C128" s="179" t="n"/>
      <c r="D128" s="179" t="n"/>
      <c r="E128" s="179" t="n"/>
      <c r="F128" s="179">
        <f>IF(D128="","",E128+1)</f>
        <v/>
      </c>
      <c r="G128" s="179" t="n"/>
      <c r="H128" s="179" t="n"/>
      <c r="I128" s="179" t="n"/>
      <c r="J128" s="179" t="n"/>
    </row>
    <row r="129" ht="18" customHeight="1" s="107">
      <c r="A129" s="180" t="n">
        <v>124</v>
      </c>
      <c r="B129" s="181" t="n"/>
      <c r="C129" s="181" t="n"/>
      <c r="D129" s="181" t="n"/>
      <c r="E129" s="181" t="n"/>
      <c r="F129" s="181">
        <f>IF(D129="","",E129+1)</f>
        <v/>
      </c>
      <c r="G129" s="181" t="n"/>
      <c r="H129" s="181" t="n"/>
      <c r="I129" s="181" t="n"/>
      <c r="J129" s="181" t="n"/>
    </row>
    <row r="130" ht="18" customHeight="1" s="107">
      <c r="A130" s="178" t="n">
        <v>125</v>
      </c>
      <c r="B130" s="179" t="n"/>
      <c r="C130" s="179" t="n"/>
      <c r="D130" s="179" t="n"/>
      <c r="E130" s="179" t="n"/>
      <c r="F130" s="179">
        <f>IF(D130="","",E130+1)</f>
        <v/>
      </c>
      <c r="G130" s="179" t="n"/>
      <c r="H130" s="179" t="n"/>
      <c r="I130" s="179" t="n"/>
      <c r="J130" s="179" t="n"/>
    </row>
    <row r="131" ht="18" customHeight="1" s="107">
      <c r="A131" s="180" t="n">
        <v>126</v>
      </c>
      <c r="B131" s="181" t="n"/>
      <c r="C131" s="181" t="n"/>
      <c r="D131" s="181" t="n"/>
      <c r="E131" s="181" t="n"/>
      <c r="F131" s="181">
        <f>IF(D131="","",E131+1)</f>
        <v/>
      </c>
      <c r="G131" s="181" t="n"/>
      <c r="H131" s="181" t="n"/>
      <c r="I131" s="181" t="n"/>
      <c r="J131" s="181" t="n"/>
    </row>
    <row r="132" ht="18" customHeight="1" s="107">
      <c r="A132" s="178" t="n">
        <v>127</v>
      </c>
      <c r="B132" s="179" t="n"/>
      <c r="C132" s="179" t="n"/>
      <c r="D132" s="179" t="n"/>
      <c r="E132" s="179" t="n"/>
      <c r="F132" s="179">
        <f>IF(D132="","",E132+1)</f>
        <v/>
      </c>
      <c r="G132" s="179" t="n"/>
      <c r="H132" s="179" t="n"/>
      <c r="I132" s="179" t="n"/>
      <c r="J132" s="179" t="n"/>
    </row>
    <row r="133" ht="18" customHeight="1" s="107">
      <c r="A133" s="180" t="n">
        <v>128</v>
      </c>
      <c r="B133" s="181" t="n"/>
      <c r="C133" s="181" t="n"/>
      <c r="D133" s="181" t="n"/>
      <c r="E133" s="181" t="n"/>
      <c r="F133" s="181">
        <f>IF(D133="","",E133+1)</f>
        <v/>
      </c>
      <c r="G133" s="181" t="n"/>
      <c r="H133" s="181" t="n"/>
      <c r="I133" s="181" t="n"/>
      <c r="J133" s="181" t="n"/>
    </row>
    <row r="134" ht="18" customHeight="1" s="107">
      <c r="A134" s="178" t="n">
        <v>129</v>
      </c>
      <c r="B134" s="179" t="n"/>
      <c r="C134" s="179" t="n"/>
      <c r="D134" s="179" t="n"/>
      <c r="E134" s="179" t="n"/>
      <c r="F134" s="179">
        <f>IF(D134="","",E134+1)</f>
        <v/>
      </c>
      <c r="G134" s="179" t="n"/>
      <c r="H134" s="179" t="n"/>
      <c r="I134" s="179" t="n"/>
      <c r="J134" s="179" t="n"/>
    </row>
    <row r="135" ht="18" customHeight="1" s="107">
      <c r="A135" s="180" t="n">
        <v>130</v>
      </c>
      <c r="B135" s="181" t="n"/>
      <c r="C135" s="181" t="n"/>
      <c r="D135" s="181" t="n"/>
      <c r="E135" s="181" t="n"/>
      <c r="F135" s="181">
        <f>IF(D135="","",E135+1)</f>
        <v/>
      </c>
      <c r="G135" s="181" t="n"/>
      <c r="H135" s="181" t="n"/>
      <c r="I135" s="181" t="n"/>
      <c r="J135" s="181" t="n"/>
    </row>
    <row r="136" ht="18" customHeight="1" s="107">
      <c r="A136" s="178" t="n">
        <v>131</v>
      </c>
      <c r="B136" s="179" t="n"/>
      <c r="C136" s="179" t="n"/>
      <c r="D136" s="179" t="n"/>
      <c r="E136" s="179" t="n"/>
      <c r="F136" s="179">
        <f>IF(D136="","",E136+1)</f>
        <v/>
      </c>
      <c r="G136" s="179" t="n"/>
      <c r="H136" s="179" t="n"/>
      <c r="I136" s="179" t="n"/>
      <c r="J136" s="179" t="n"/>
    </row>
    <row r="137" ht="18" customHeight="1" s="107">
      <c r="A137" s="180" t="n">
        <v>132</v>
      </c>
      <c r="B137" s="181" t="n"/>
      <c r="C137" s="181" t="n"/>
      <c r="D137" s="181" t="n"/>
      <c r="E137" s="181" t="n"/>
      <c r="F137" s="181">
        <f>IF(D137="","",E137+1)</f>
        <v/>
      </c>
      <c r="G137" s="181" t="n"/>
      <c r="H137" s="181" t="n"/>
      <c r="I137" s="181" t="n"/>
      <c r="J137" s="181" t="n"/>
    </row>
    <row r="138" ht="18" customHeight="1" s="107">
      <c r="A138" s="178" t="n">
        <v>133</v>
      </c>
      <c r="B138" s="179" t="n"/>
      <c r="C138" s="179" t="n"/>
      <c r="D138" s="179" t="n"/>
      <c r="E138" s="179" t="n"/>
      <c r="F138" s="179">
        <f>IF(D138="","",E138+1)</f>
        <v/>
      </c>
      <c r="G138" s="179" t="n"/>
      <c r="H138" s="179" t="n"/>
      <c r="I138" s="179" t="n"/>
      <c r="J138" s="179" t="n"/>
    </row>
    <row r="139" ht="18" customHeight="1" s="107">
      <c r="A139" s="180" t="n">
        <v>134</v>
      </c>
      <c r="B139" s="181" t="n"/>
      <c r="C139" s="181" t="n"/>
      <c r="D139" s="181" t="n"/>
      <c r="E139" s="181" t="n"/>
      <c r="F139" s="181">
        <f>IF(D139="","",E139+1)</f>
        <v/>
      </c>
      <c r="G139" s="181" t="n"/>
      <c r="H139" s="181" t="n"/>
      <c r="I139" s="181" t="n"/>
      <c r="J139" s="181" t="n"/>
    </row>
    <row r="140" ht="18" customHeight="1" s="107">
      <c r="A140" s="178" t="n">
        <v>135</v>
      </c>
      <c r="B140" s="179" t="n"/>
      <c r="C140" s="179" t="n"/>
      <c r="D140" s="179" t="n"/>
      <c r="E140" s="179" t="n"/>
      <c r="F140" s="179">
        <f>IF(D140="","",E140+1)</f>
        <v/>
      </c>
      <c r="G140" s="179" t="n"/>
      <c r="H140" s="179" t="n"/>
      <c r="I140" s="179" t="n"/>
      <c r="J140" s="179" t="n"/>
    </row>
    <row r="141" ht="18" customHeight="1" s="107">
      <c r="A141" s="180" t="n">
        <v>136</v>
      </c>
      <c r="B141" s="181" t="n"/>
      <c r="C141" s="181" t="n"/>
      <c r="D141" s="181" t="n"/>
      <c r="E141" s="181" t="n"/>
      <c r="F141" s="181">
        <f>IF(D141="","",E141+1)</f>
        <v/>
      </c>
      <c r="G141" s="181" t="n"/>
      <c r="H141" s="181" t="n"/>
      <c r="I141" s="181" t="n"/>
      <c r="J141" s="181" t="n"/>
    </row>
    <row r="142" ht="18" customHeight="1" s="107">
      <c r="A142" s="178" t="n">
        <v>137</v>
      </c>
      <c r="B142" s="179" t="n"/>
      <c r="C142" s="179" t="n"/>
      <c r="D142" s="179" t="n"/>
      <c r="E142" s="179" t="n"/>
      <c r="F142" s="179">
        <f>IF(D142="","",E142+1)</f>
        <v/>
      </c>
      <c r="G142" s="179" t="n"/>
      <c r="H142" s="179" t="n"/>
      <c r="I142" s="179" t="n"/>
      <c r="J142" s="179" t="n"/>
    </row>
    <row r="143" ht="18" customHeight="1" s="107">
      <c r="A143" s="180" t="n">
        <v>138</v>
      </c>
      <c r="B143" s="181" t="n"/>
      <c r="C143" s="181" t="n"/>
      <c r="D143" s="181" t="n"/>
      <c r="E143" s="181" t="n"/>
      <c r="F143" s="181">
        <f>IF(D143="","",E143+1)</f>
        <v/>
      </c>
      <c r="G143" s="181" t="n"/>
      <c r="H143" s="181" t="n"/>
      <c r="I143" s="181" t="n"/>
      <c r="J143" s="181" t="n"/>
    </row>
    <row r="144" ht="18" customHeight="1" s="107">
      <c r="A144" s="178" t="n">
        <v>139</v>
      </c>
      <c r="B144" s="179" t="n"/>
      <c r="C144" s="179" t="n"/>
      <c r="D144" s="179" t="n"/>
      <c r="E144" s="179" t="n"/>
      <c r="F144" s="179">
        <f>IF(D144="","",E144+1)</f>
        <v/>
      </c>
      <c r="G144" s="179" t="n"/>
      <c r="H144" s="179" t="n"/>
      <c r="I144" s="179" t="n"/>
      <c r="J144" s="179" t="n"/>
    </row>
    <row r="145" ht="18" customHeight="1" s="107">
      <c r="A145" s="180" t="n">
        <v>140</v>
      </c>
      <c r="B145" s="181" t="n"/>
      <c r="C145" s="181" t="n"/>
      <c r="D145" s="181" t="n"/>
      <c r="E145" s="181" t="n"/>
      <c r="F145" s="181">
        <f>IF(D145="","",E145+1)</f>
        <v/>
      </c>
      <c r="G145" s="181" t="n"/>
      <c r="H145" s="181" t="n"/>
      <c r="I145" s="181" t="n"/>
      <c r="J145" s="181" t="n"/>
    </row>
    <row r="146" ht="18" customHeight="1" s="107">
      <c r="A146" s="178" t="n">
        <v>141</v>
      </c>
      <c r="B146" s="179" t="n"/>
      <c r="C146" s="179" t="n"/>
      <c r="D146" s="179" t="n"/>
      <c r="E146" s="179" t="n"/>
      <c r="F146" s="179">
        <f>IF(D146="","",E146+1)</f>
        <v/>
      </c>
      <c r="G146" s="179" t="n"/>
      <c r="H146" s="179" t="n"/>
      <c r="I146" s="179" t="n"/>
      <c r="J146" s="179" t="n"/>
    </row>
    <row r="147" ht="18" customHeight="1" s="107">
      <c r="A147" s="180" t="n">
        <v>142</v>
      </c>
      <c r="B147" s="181" t="n"/>
      <c r="C147" s="181" t="n"/>
      <c r="D147" s="181" t="n"/>
      <c r="E147" s="181" t="n"/>
      <c r="F147" s="181">
        <f>IF(D147="","",E147+1)</f>
        <v/>
      </c>
      <c r="G147" s="181" t="n"/>
      <c r="H147" s="181" t="n"/>
      <c r="I147" s="181" t="n"/>
      <c r="J147" s="181" t="n"/>
    </row>
    <row r="148" ht="18" customHeight="1" s="107">
      <c r="A148" s="178" t="n">
        <v>143</v>
      </c>
      <c r="B148" s="179" t="n"/>
      <c r="C148" s="179" t="n"/>
      <c r="D148" s="179" t="n"/>
      <c r="E148" s="179" t="n"/>
      <c r="F148" s="179">
        <f>IF(D148="","",E148+1)</f>
        <v/>
      </c>
      <c r="G148" s="179" t="n"/>
      <c r="H148" s="179" t="n"/>
      <c r="I148" s="179" t="n"/>
      <c r="J148" s="179" t="n"/>
    </row>
    <row r="149" ht="18" customHeight="1" s="107">
      <c r="A149" s="180" t="n">
        <v>144</v>
      </c>
      <c r="B149" s="181" t="n"/>
      <c r="C149" s="181" t="n"/>
      <c r="D149" s="181" t="n"/>
      <c r="E149" s="181" t="n"/>
      <c r="F149" s="181">
        <f>IF(D149="","",E149+1)</f>
        <v/>
      </c>
      <c r="G149" s="181" t="n"/>
      <c r="H149" s="181" t="n"/>
      <c r="I149" s="181" t="n"/>
      <c r="J149" s="181" t="n"/>
    </row>
    <row r="150" ht="18" customHeight="1" s="107">
      <c r="A150" s="178" t="n">
        <v>145</v>
      </c>
      <c r="B150" s="179" t="n"/>
      <c r="C150" s="179" t="n"/>
      <c r="D150" s="179" t="n"/>
      <c r="E150" s="179" t="n"/>
      <c r="F150" s="179">
        <f>IF(D150="","",E150+1)</f>
        <v/>
      </c>
      <c r="G150" s="179" t="n"/>
      <c r="H150" s="179" t="n"/>
      <c r="I150" s="179" t="n"/>
      <c r="J150" s="179" t="n"/>
    </row>
    <row r="151" ht="18" customHeight="1" s="107">
      <c r="A151" s="180" t="n">
        <v>146</v>
      </c>
      <c r="B151" s="181" t="n"/>
      <c r="C151" s="181" t="n"/>
      <c r="D151" s="181" t="n"/>
      <c r="E151" s="181" t="n"/>
      <c r="F151" s="181">
        <f>IF(D151="","",E151+1)</f>
        <v/>
      </c>
      <c r="G151" s="181" t="n"/>
      <c r="H151" s="181" t="n"/>
      <c r="I151" s="181" t="n"/>
      <c r="J151" s="181" t="n"/>
    </row>
    <row r="152" ht="18" customHeight="1" s="107">
      <c r="A152" s="178" t="n">
        <v>147</v>
      </c>
      <c r="B152" s="179" t="n"/>
      <c r="C152" s="179" t="n"/>
      <c r="D152" s="179" t="n"/>
      <c r="E152" s="179" t="n"/>
      <c r="F152" s="179">
        <f>IF(D152="","",E152+1)</f>
        <v/>
      </c>
      <c r="G152" s="179" t="n"/>
      <c r="H152" s="179" t="n"/>
      <c r="I152" s="179" t="n"/>
      <c r="J152" s="179" t="n"/>
    </row>
    <row r="153" ht="18" customHeight="1" s="107">
      <c r="A153" s="180" t="n">
        <v>148</v>
      </c>
      <c r="B153" s="181" t="n"/>
      <c r="C153" s="181" t="n"/>
      <c r="D153" s="181" t="n"/>
      <c r="E153" s="181" t="n"/>
      <c r="F153" s="181">
        <f>IF(D153="","",E153+1)</f>
        <v/>
      </c>
      <c r="G153" s="181" t="n"/>
      <c r="H153" s="181" t="n"/>
      <c r="I153" s="181" t="n"/>
      <c r="J153" s="181" t="n"/>
    </row>
    <row r="154" ht="18" customHeight="1" s="107">
      <c r="A154" s="178" t="n">
        <v>149</v>
      </c>
      <c r="B154" s="179" t="n"/>
      <c r="C154" s="179" t="n"/>
      <c r="D154" s="179" t="n"/>
      <c r="E154" s="179" t="n"/>
      <c r="F154" s="179">
        <f>IF(D154="","",E154+1)</f>
        <v/>
      </c>
      <c r="G154" s="179" t="n"/>
      <c r="H154" s="179" t="n"/>
      <c r="I154" s="179" t="n"/>
      <c r="J154" s="179" t="n"/>
    </row>
    <row r="155" ht="18" customHeight="1" s="107">
      <c r="A155" s="180" t="n">
        <v>150</v>
      </c>
      <c r="B155" s="181" t="n"/>
      <c r="C155" s="181" t="n"/>
      <c r="D155" s="181" t="n"/>
      <c r="E155" s="181" t="n"/>
      <c r="F155" s="181">
        <f>IF(D155="","",E155+1)</f>
        <v/>
      </c>
      <c r="G155" s="181" t="n"/>
      <c r="H155" s="181" t="n"/>
      <c r="I155" s="181" t="n"/>
      <c r="J155" s="181" t="n"/>
    </row>
    <row r="156" ht="18" customHeight="1" s="107">
      <c r="A156" s="178" t="n">
        <v>151</v>
      </c>
      <c r="B156" s="179" t="n"/>
      <c r="C156" s="179" t="n"/>
      <c r="D156" s="179" t="n"/>
      <c r="E156" s="179" t="n"/>
      <c r="F156" s="179">
        <f>IF(D156="","",E156+1)</f>
        <v/>
      </c>
      <c r="G156" s="179" t="n"/>
      <c r="H156" s="179" t="n"/>
      <c r="I156" s="179" t="n"/>
      <c r="J156" s="179" t="n"/>
    </row>
    <row r="157" ht="18" customHeight="1" s="107">
      <c r="A157" s="180" t="n">
        <v>152</v>
      </c>
      <c r="B157" s="181" t="n"/>
      <c r="C157" s="181" t="n"/>
      <c r="D157" s="181" t="n"/>
      <c r="E157" s="181" t="n"/>
      <c r="F157" s="181">
        <f>IF(D157="","",E157+1)</f>
        <v/>
      </c>
      <c r="G157" s="181" t="n"/>
      <c r="H157" s="181" t="n"/>
      <c r="I157" s="181" t="n"/>
      <c r="J157" s="181" t="n"/>
    </row>
    <row r="158" ht="18" customHeight="1" s="107">
      <c r="A158" s="178" t="n">
        <v>153</v>
      </c>
      <c r="B158" s="179" t="n"/>
      <c r="C158" s="179" t="n"/>
      <c r="D158" s="179" t="n"/>
      <c r="E158" s="179" t="n"/>
      <c r="F158" s="179">
        <f>IF(D158="","",E158+1)</f>
        <v/>
      </c>
      <c r="G158" s="179" t="n"/>
      <c r="H158" s="179" t="n"/>
      <c r="I158" s="179" t="n"/>
      <c r="J158" s="179" t="n"/>
    </row>
    <row r="159" ht="18" customHeight="1" s="107">
      <c r="A159" s="180" t="n">
        <v>154</v>
      </c>
      <c r="B159" s="181" t="n"/>
      <c r="C159" s="181" t="n"/>
      <c r="D159" s="181" t="n"/>
      <c r="E159" s="181" t="n"/>
      <c r="F159" s="181">
        <f>IF(D159="","",E159+1)</f>
        <v/>
      </c>
      <c r="G159" s="181" t="n"/>
      <c r="H159" s="181" t="n"/>
      <c r="I159" s="181" t="n"/>
      <c r="J159" s="181" t="n"/>
    </row>
    <row r="160" ht="18" customHeight="1" s="107">
      <c r="A160" s="178" t="n">
        <v>155</v>
      </c>
      <c r="B160" s="179" t="n"/>
      <c r="C160" s="179" t="n"/>
      <c r="D160" s="179" t="n"/>
      <c r="E160" s="179" t="n"/>
      <c r="F160" s="179">
        <f>IF(D160="","",E160+1)</f>
        <v/>
      </c>
      <c r="G160" s="179" t="n"/>
      <c r="H160" s="179" t="n"/>
      <c r="I160" s="179" t="n"/>
      <c r="J160" s="179" t="n"/>
    </row>
    <row r="161" ht="18" customHeight="1" s="107">
      <c r="A161" s="180" t="n">
        <v>156</v>
      </c>
      <c r="B161" s="181" t="n"/>
      <c r="C161" s="181" t="n"/>
      <c r="D161" s="181" t="n"/>
      <c r="E161" s="181" t="n"/>
      <c r="F161" s="181">
        <f>IF(D161="","",E161+1)</f>
        <v/>
      </c>
      <c r="G161" s="181" t="n"/>
      <c r="H161" s="181" t="n"/>
      <c r="I161" s="181" t="n"/>
      <c r="J161" s="181" t="n"/>
    </row>
    <row r="162" ht="18" customHeight="1" s="107">
      <c r="A162" s="178" t="n">
        <v>157</v>
      </c>
      <c r="B162" s="179" t="n"/>
      <c r="C162" s="179" t="n"/>
      <c r="D162" s="179" t="n"/>
      <c r="E162" s="179" t="n"/>
      <c r="F162" s="179">
        <f>IF(D162="","",E162+1)</f>
        <v/>
      </c>
      <c r="G162" s="179" t="n"/>
      <c r="H162" s="179" t="n"/>
      <c r="I162" s="179" t="n"/>
      <c r="J162" s="179" t="n"/>
    </row>
    <row r="163" ht="18" customHeight="1" s="107">
      <c r="A163" s="180" t="n">
        <v>158</v>
      </c>
      <c r="B163" s="181" t="n"/>
      <c r="C163" s="181" t="n"/>
      <c r="D163" s="181" t="n"/>
      <c r="E163" s="181" t="n"/>
      <c r="F163" s="181">
        <f>IF(D163="","",E163+1)</f>
        <v/>
      </c>
      <c r="G163" s="181" t="n"/>
      <c r="H163" s="181" t="n"/>
      <c r="I163" s="181" t="n"/>
      <c r="J163" s="181" t="n"/>
    </row>
    <row r="164" ht="18" customHeight="1" s="107">
      <c r="A164" s="178" t="n">
        <v>159</v>
      </c>
      <c r="B164" s="179" t="n"/>
      <c r="C164" s="179" t="n"/>
      <c r="D164" s="179" t="n"/>
      <c r="E164" s="179" t="n"/>
      <c r="F164" s="179">
        <f>IF(D164="","",E164+1)</f>
        <v/>
      </c>
      <c r="G164" s="179" t="n"/>
      <c r="H164" s="179" t="n"/>
      <c r="I164" s="179" t="n"/>
      <c r="J164" s="179" t="n"/>
    </row>
    <row r="165" ht="18" customHeight="1" s="107">
      <c r="A165" s="180" t="n">
        <v>160</v>
      </c>
      <c r="B165" s="181" t="n"/>
      <c r="C165" s="181" t="n"/>
      <c r="D165" s="181" t="n"/>
      <c r="E165" s="181" t="n"/>
      <c r="F165" s="181">
        <f>IF(D165="","",E165+1)</f>
        <v/>
      </c>
      <c r="G165" s="181" t="n"/>
      <c r="H165" s="181" t="n"/>
      <c r="I165" s="181" t="n"/>
      <c r="J165" s="181" t="n"/>
    </row>
    <row r="166" ht="18" customHeight="1" s="107">
      <c r="A166" s="178" t="n">
        <v>161</v>
      </c>
      <c r="B166" s="179" t="n"/>
      <c r="C166" s="179" t="n"/>
      <c r="D166" s="179" t="n"/>
      <c r="E166" s="179" t="n"/>
      <c r="F166" s="179">
        <f>IF(D166="","",E166+1)</f>
        <v/>
      </c>
      <c r="G166" s="179" t="n"/>
      <c r="H166" s="179" t="n"/>
      <c r="I166" s="179" t="n"/>
      <c r="J166" s="179" t="n"/>
    </row>
    <row r="167" ht="18" customHeight="1" s="107">
      <c r="A167" s="180" t="n">
        <v>162</v>
      </c>
      <c r="B167" s="181" t="n"/>
      <c r="C167" s="181" t="n"/>
      <c r="D167" s="181" t="n"/>
      <c r="E167" s="181" t="n"/>
      <c r="F167" s="181">
        <f>IF(D167="","",E167+1)</f>
        <v/>
      </c>
      <c r="G167" s="181" t="n"/>
      <c r="H167" s="181" t="n"/>
      <c r="I167" s="181" t="n"/>
      <c r="J167" s="181" t="n"/>
    </row>
    <row r="168" ht="18" customHeight="1" s="107">
      <c r="A168" s="178" t="n">
        <v>163</v>
      </c>
      <c r="B168" s="179" t="n"/>
      <c r="C168" s="179" t="n"/>
      <c r="D168" s="179" t="n"/>
      <c r="E168" s="179" t="n"/>
      <c r="F168" s="179">
        <f>IF(D168="","",E168+1)</f>
        <v/>
      </c>
      <c r="G168" s="179" t="n"/>
      <c r="H168" s="179" t="n"/>
      <c r="I168" s="179" t="n"/>
      <c r="J168" s="179" t="n"/>
    </row>
    <row r="169" ht="18" customHeight="1" s="107">
      <c r="A169" s="180" t="n">
        <v>164</v>
      </c>
      <c r="B169" s="181" t="n"/>
      <c r="C169" s="181" t="n"/>
      <c r="D169" s="181" t="n"/>
      <c r="E169" s="181" t="n"/>
      <c r="F169" s="181">
        <f>IF(D169="","",E169+1)</f>
        <v/>
      </c>
      <c r="G169" s="181" t="n"/>
      <c r="H169" s="181" t="n"/>
      <c r="I169" s="181" t="n"/>
      <c r="J169" s="181" t="n"/>
    </row>
    <row r="170" ht="18" customHeight="1" s="107">
      <c r="A170" s="178" t="n">
        <v>165</v>
      </c>
      <c r="B170" s="179" t="n"/>
      <c r="C170" s="179" t="n"/>
      <c r="D170" s="179" t="n"/>
      <c r="E170" s="179" t="n"/>
      <c r="F170" s="179">
        <f>IF(D170="","",E170+1)</f>
        <v/>
      </c>
      <c r="G170" s="179" t="n"/>
      <c r="H170" s="179" t="n"/>
      <c r="I170" s="179" t="n"/>
      <c r="J170" s="179" t="n"/>
    </row>
    <row r="171" ht="18" customHeight="1" s="107">
      <c r="A171" s="180" t="n">
        <v>166</v>
      </c>
      <c r="B171" s="181" t="n"/>
      <c r="C171" s="181" t="n"/>
      <c r="D171" s="181" t="n"/>
      <c r="E171" s="181" t="n"/>
      <c r="F171" s="181">
        <f>IF(D171="","",E171+1)</f>
        <v/>
      </c>
      <c r="G171" s="181" t="n"/>
      <c r="H171" s="181" t="n"/>
      <c r="I171" s="181" t="n"/>
      <c r="J171" s="181" t="n"/>
    </row>
    <row r="172" ht="18" customHeight="1" s="107">
      <c r="A172" s="178" t="n">
        <v>167</v>
      </c>
      <c r="B172" s="179" t="n"/>
      <c r="C172" s="179" t="n"/>
      <c r="D172" s="179" t="n"/>
      <c r="E172" s="179" t="n"/>
      <c r="F172" s="179">
        <f>IF(D172="","",E172+1)</f>
        <v/>
      </c>
      <c r="G172" s="179" t="n"/>
      <c r="H172" s="179" t="n"/>
      <c r="I172" s="179" t="n"/>
      <c r="J172" s="179" t="n"/>
    </row>
    <row r="173" ht="18" customHeight="1" s="107">
      <c r="A173" s="180" t="n">
        <v>168</v>
      </c>
      <c r="B173" s="181" t="n"/>
      <c r="C173" s="181" t="n"/>
      <c r="D173" s="181" t="n"/>
      <c r="E173" s="181" t="n"/>
      <c r="F173" s="181">
        <f>IF(D173="","",E173+1)</f>
        <v/>
      </c>
      <c r="G173" s="181" t="n"/>
      <c r="H173" s="181" t="n"/>
      <c r="I173" s="181" t="n"/>
      <c r="J173" s="181" t="n"/>
    </row>
    <row r="174" ht="18" customHeight="1" s="107">
      <c r="A174" s="178" t="n">
        <v>169</v>
      </c>
      <c r="B174" s="179" t="n"/>
      <c r="C174" s="179" t="n"/>
      <c r="D174" s="179" t="n"/>
      <c r="E174" s="179" t="n"/>
      <c r="F174" s="179">
        <f>IF(D174="","",E174+1)</f>
        <v/>
      </c>
      <c r="G174" s="179" t="n"/>
      <c r="H174" s="179" t="n"/>
      <c r="I174" s="179" t="n"/>
      <c r="J174" s="179" t="n"/>
    </row>
    <row r="175" ht="18" customHeight="1" s="107">
      <c r="A175" s="180" t="n">
        <v>170</v>
      </c>
      <c r="B175" s="181" t="n"/>
      <c r="C175" s="181" t="n"/>
      <c r="D175" s="181" t="n"/>
      <c r="E175" s="181" t="n"/>
      <c r="F175" s="181">
        <f>IF(D175="","",E175+1)</f>
        <v/>
      </c>
      <c r="G175" s="181" t="n"/>
      <c r="H175" s="181" t="n"/>
      <c r="I175" s="181" t="n"/>
      <c r="J175" s="181" t="n"/>
    </row>
    <row r="176" ht="18" customHeight="1" s="107">
      <c r="A176" s="178" t="n">
        <v>171</v>
      </c>
      <c r="B176" s="179" t="n"/>
      <c r="C176" s="179" t="n"/>
      <c r="D176" s="179" t="n"/>
      <c r="E176" s="179" t="n"/>
      <c r="F176" s="179">
        <f>IF(D176="","",E176+1)</f>
        <v/>
      </c>
      <c r="G176" s="179" t="n"/>
      <c r="H176" s="179" t="n"/>
      <c r="I176" s="179" t="n"/>
      <c r="J176" s="179" t="n"/>
    </row>
    <row r="177" ht="18" customHeight="1" s="107">
      <c r="A177" s="180" t="n">
        <v>172</v>
      </c>
      <c r="B177" s="181" t="n"/>
      <c r="C177" s="181" t="n"/>
      <c r="D177" s="181" t="n"/>
      <c r="E177" s="181" t="n"/>
      <c r="F177" s="181">
        <f>IF(D177="","",E177+1)</f>
        <v/>
      </c>
      <c r="G177" s="181" t="n"/>
      <c r="H177" s="181" t="n"/>
      <c r="I177" s="181" t="n"/>
      <c r="J177" s="181" t="n"/>
    </row>
    <row r="178" ht="18" customHeight="1" s="107">
      <c r="A178" s="178" t="n">
        <v>173</v>
      </c>
      <c r="B178" s="179" t="n"/>
      <c r="C178" s="179" t="n"/>
      <c r="D178" s="179" t="n"/>
      <c r="E178" s="179" t="n"/>
      <c r="F178" s="179">
        <f>IF(D178="","",E178+1)</f>
        <v/>
      </c>
      <c r="G178" s="179" t="n"/>
      <c r="H178" s="179" t="n"/>
      <c r="I178" s="179" t="n"/>
      <c r="J178" s="179" t="n"/>
    </row>
    <row r="179" ht="18" customHeight="1" s="107">
      <c r="A179" s="180" t="n">
        <v>174</v>
      </c>
      <c r="B179" s="181" t="n"/>
      <c r="C179" s="181" t="n"/>
      <c r="D179" s="181" t="n"/>
      <c r="E179" s="181" t="n"/>
      <c r="F179" s="181">
        <f>IF(D179="","",E179+1)</f>
        <v/>
      </c>
      <c r="G179" s="181" t="n"/>
      <c r="H179" s="181" t="n"/>
      <c r="I179" s="181" t="n"/>
      <c r="J179" s="181" t="n"/>
    </row>
    <row r="180" ht="18" customHeight="1" s="107">
      <c r="A180" s="178" t="n">
        <v>175</v>
      </c>
      <c r="B180" s="179" t="n"/>
      <c r="C180" s="179" t="n"/>
      <c r="D180" s="179" t="n"/>
      <c r="E180" s="179" t="n"/>
      <c r="F180" s="179">
        <f>IF(D180="","",E180+1)</f>
        <v/>
      </c>
      <c r="G180" s="179" t="n"/>
      <c r="H180" s="179" t="n"/>
      <c r="I180" s="179" t="n"/>
      <c r="J180" s="179" t="n"/>
    </row>
    <row r="181" ht="18" customHeight="1" s="107">
      <c r="A181" s="180" t="n">
        <v>176</v>
      </c>
      <c r="B181" s="181" t="n"/>
      <c r="C181" s="181" t="n"/>
      <c r="D181" s="181" t="n"/>
      <c r="E181" s="181" t="n"/>
      <c r="F181" s="181">
        <f>IF(D181="","",E181+1)</f>
        <v/>
      </c>
      <c r="G181" s="181" t="n"/>
      <c r="H181" s="181" t="n"/>
      <c r="I181" s="181" t="n"/>
      <c r="J181" s="181" t="n"/>
    </row>
    <row r="182" ht="18" customHeight="1" s="107">
      <c r="A182" s="178" t="n">
        <v>177</v>
      </c>
      <c r="B182" s="179" t="n"/>
      <c r="C182" s="179" t="n"/>
      <c r="D182" s="179" t="n"/>
      <c r="E182" s="179" t="n"/>
      <c r="F182" s="179">
        <f>IF(D182="","",E182+1)</f>
        <v/>
      </c>
      <c r="G182" s="179" t="n"/>
      <c r="H182" s="179" t="n"/>
      <c r="I182" s="179" t="n"/>
      <c r="J182" s="179" t="n"/>
    </row>
    <row r="183" ht="18" customHeight="1" s="107">
      <c r="A183" s="180" t="n">
        <v>178</v>
      </c>
      <c r="B183" s="181" t="n"/>
      <c r="C183" s="181" t="n"/>
      <c r="D183" s="181" t="n"/>
      <c r="E183" s="181" t="n"/>
      <c r="F183" s="181">
        <f>IF(D183="","",E183+1)</f>
        <v/>
      </c>
      <c r="G183" s="181" t="n"/>
      <c r="H183" s="181" t="n"/>
      <c r="I183" s="181" t="n"/>
      <c r="J183" s="181" t="n"/>
    </row>
    <row r="184" ht="18" customHeight="1" s="107">
      <c r="A184" s="178" t="n">
        <v>179</v>
      </c>
      <c r="B184" s="179" t="n"/>
      <c r="C184" s="179" t="n"/>
      <c r="D184" s="179" t="n"/>
      <c r="E184" s="179" t="n"/>
      <c r="F184" s="179">
        <f>IF(D184="","",E184+1)</f>
        <v/>
      </c>
      <c r="G184" s="179" t="n"/>
      <c r="H184" s="179" t="n"/>
      <c r="I184" s="179" t="n"/>
      <c r="J184" s="179" t="n"/>
    </row>
    <row r="185" ht="18" customHeight="1" s="107">
      <c r="A185" s="180" t="n">
        <v>180</v>
      </c>
      <c r="B185" s="181" t="n"/>
      <c r="C185" s="181" t="n"/>
      <c r="D185" s="181" t="n"/>
      <c r="E185" s="181" t="n"/>
      <c r="F185" s="181">
        <f>IF(D185="","",E185+1)</f>
        <v/>
      </c>
      <c r="G185" s="181" t="n"/>
      <c r="H185" s="181" t="n"/>
      <c r="I185" s="181" t="n"/>
      <c r="J185" s="181" t="n"/>
    </row>
    <row r="186" ht="18" customHeight="1" s="107">
      <c r="A186" s="178" t="n">
        <v>181</v>
      </c>
      <c r="B186" s="179" t="n"/>
      <c r="C186" s="179" t="n"/>
      <c r="D186" s="179" t="n"/>
      <c r="E186" s="179" t="n"/>
      <c r="F186" s="179">
        <f>IF(D186="","",E186+1)</f>
        <v/>
      </c>
      <c r="G186" s="179" t="n"/>
      <c r="H186" s="179" t="n"/>
      <c r="I186" s="179" t="n"/>
      <c r="J186" s="179" t="n"/>
    </row>
    <row r="187" ht="18" customHeight="1" s="107">
      <c r="A187" s="180" t="n">
        <v>182</v>
      </c>
      <c r="B187" s="181" t="n"/>
      <c r="C187" s="181" t="n"/>
      <c r="D187" s="181" t="n"/>
      <c r="E187" s="181" t="n"/>
      <c r="F187" s="181">
        <f>IF(D187="","",E187+1)</f>
        <v/>
      </c>
      <c r="G187" s="181" t="n"/>
      <c r="H187" s="181" t="n"/>
      <c r="I187" s="181" t="n"/>
      <c r="J187" s="181" t="n"/>
    </row>
    <row r="188" ht="18" customHeight="1" s="107">
      <c r="A188" s="178" t="n">
        <v>183</v>
      </c>
      <c r="B188" s="179" t="n"/>
      <c r="C188" s="179" t="n"/>
      <c r="D188" s="179" t="n"/>
      <c r="E188" s="179" t="n"/>
      <c r="F188" s="179">
        <f>IF(D188="","",E188+1)</f>
        <v/>
      </c>
      <c r="G188" s="179" t="n"/>
      <c r="H188" s="179" t="n"/>
      <c r="I188" s="179" t="n"/>
      <c r="J188" s="179" t="n"/>
    </row>
    <row r="189" ht="18" customHeight="1" s="107">
      <c r="A189" s="180" t="n">
        <v>184</v>
      </c>
      <c r="B189" s="181" t="n"/>
      <c r="C189" s="181" t="n"/>
      <c r="D189" s="181" t="n"/>
      <c r="E189" s="181" t="n"/>
      <c r="F189" s="181">
        <f>IF(D189="","",E189+1)</f>
        <v/>
      </c>
      <c r="G189" s="181" t="n"/>
      <c r="H189" s="181" t="n"/>
      <c r="I189" s="181" t="n"/>
      <c r="J189" s="181" t="n"/>
    </row>
    <row r="190" ht="18" customHeight="1" s="107">
      <c r="A190" s="178" t="n">
        <v>185</v>
      </c>
      <c r="B190" s="179" t="n"/>
      <c r="C190" s="179" t="n"/>
      <c r="D190" s="179" t="n"/>
      <c r="E190" s="179" t="n"/>
      <c r="F190" s="179">
        <f>IF(D190="","",E190+1)</f>
        <v/>
      </c>
      <c r="G190" s="179" t="n"/>
      <c r="H190" s="179" t="n"/>
      <c r="I190" s="179" t="n"/>
      <c r="J190" s="179" t="n"/>
    </row>
    <row r="191" ht="18" customHeight="1" s="107">
      <c r="A191" s="180" t="n">
        <v>186</v>
      </c>
      <c r="B191" s="181" t="n"/>
      <c r="C191" s="181" t="n"/>
      <c r="D191" s="181" t="n"/>
      <c r="E191" s="181" t="n"/>
      <c r="F191" s="181">
        <f>IF(D191="","",E191+1)</f>
        <v/>
      </c>
      <c r="G191" s="181" t="n"/>
      <c r="H191" s="181" t="n"/>
      <c r="I191" s="181" t="n"/>
      <c r="J191" s="181" t="n"/>
    </row>
    <row r="192" ht="18" customHeight="1" s="107">
      <c r="A192" s="178" t="n">
        <v>187</v>
      </c>
      <c r="B192" s="179" t="n"/>
      <c r="C192" s="179" t="n"/>
      <c r="D192" s="179" t="n"/>
      <c r="E192" s="179" t="n"/>
      <c r="F192" s="179">
        <f>IF(D192="","",E192+1)</f>
        <v/>
      </c>
      <c r="G192" s="179" t="n"/>
      <c r="H192" s="179" t="n"/>
      <c r="I192" s="179" t="n"/>
      <c r="J192" s="179" t="n"/>
    </row>
    <row r="193" ht="18" customHeight="1" s="107">
      <c r="A193" s="180" t="n">
        <v>188</v>
      </c>
      <c r="B193" s="181" t="n"/>
      <c r="C193" s="181" t="n"/>
      <c r="D193" s="181" t="n"/>
      <c r="E193" s="181" t="n"/>
      <c r="F193" s="181">
        <f>IF(D193="","",E193+1)</f>
        <v/>
      </c>
      <c r="G193" s="181" t="n"/>
      <c r="H193" s="181" t="n"/>
      <c r="I193" s="181" t="n"/>
      <c r="J193" s="181" t="n"/>
    </row>
    <row r="194" ht="18" customHeight="1" s="107">
      <c r="A194" s="178" t="n">
        <v>189</v>
      </c>
      <c r="B194" s="179" t="n"/>
      <c r="C194" s="179" t="n"/>
      <c r="D194" s="179" t="n"/>
      <c r="E194" s="179" t="n"/>
      <c r="F194" s="179">
        <f>IF(D194="","",E194+1)</f>
        <v/>
      </c>
      <c r="G194" s="179" t="n"/>
      <c r="H194" s="179" t="n"/>
      <c r="I194" s="179" t="n"/>
      <c r="J194" s="179" t="n"/>
    </row>
    <row r="195" ht="18" customHeight="1" s="107">
      <c r="A195" s="180" t="n">
        <v>190</v>
      </c>
      <c r="B195" s="181" t="n"/>
      <c r="C195" s="181" t="n"/>
      <c r="D195" s="181" t="n"/>
      <c r="E195" s="181" t="n"/>
      <c r="F195" s="181">
        <f>IF(D195="","",E195+1)</f>
        <v/>
      </c>
      <c r="G195" s="181" t="n"/>
      <c r="H195" s="181" t="n"/>
      <c r="I195" s="181" t="n"/>
      <c r="J195" s="181" t="n"/>
    </row>
    <row r="196" ht="18" customHeight="1" s="107">
      <c r="A196" s="178" t="n">
        <v>191</v>
      </c>
      <c r="B196" s="179" t="n"/>
      <c r="C196" s="179" t="n"/>
      <c r="D196" s="179" t="n"/>
      <c r="E196" s="179" t="n"/>
      <c r="F196" s="179">
        <f>IF(D196="","",E196+1)</f>
        <v/>
      </c>
      <c r="G196" s="179" t="n"/>
      <c r="H196" s="179" t="n"/>
      <c r="I196" s="179" t="n"/>
      <c r="J196" s="179" t="n"/>
    </row>
    <row r="197" ht="18" customHeight="1" s="107">
      <c r="A197" s="180" t="n">
        <v>192</v>
      </c>
      <c r="B197" s="181" t="n"/>
      <c r="C197" s="181" t="n"/>
      <c r="D197" s="181" t="n"/>
      <c r="E197" s="181" t="n"/>
      <c r="F197" s="181">
        <f>IF(D197="","",E197+1)</f>
        <v/>
      </c>
      <c r="G197" s="181" t="n"/>
      <c r="H197" s="181" t="n"/>
      <c r="I197" s="181" t="n"/>
      <c r="J197" s="181" t="n"/>
    </row>
    <row r="198" ht="18" customHeight="1" s="107">
      <c r="A198" s="178" t="n">
        <v>193</v>
      </c>
      <c r="B198" s="179" t="n"/>
      <c r="C198" s="179" t="n"/>
      <c r="D198" s="179" t="n"/>
      <c r="E198" s="179" t="n"/>
      <c r="F198" s="179">
        <f>IF(D198="","",E198+1)</f>
        <v/>
      </c>
      <c r="G198" s="179" t="n"/>
      <c r="H198" s="179" t="n"/>
      <c r="I198" s="179" t="n"/>
      <c r="J198" s="179" t="n"/>
    </row>
    <row r="199" ht="18" customHeight="1" s="107">
      <c r="A199" s="180" t="n">
        <v>194</v>
      </c>
      <c r="B199" s="181" t="n"/>
      <c r="C199" s="181" t="n"/>
      <c r="D199" s="181" t="n"/>
      <c r="E199" s="181" t="n"/>
      <c r="F199" s="181">
        <f>IF(D199="","",E199+1)</f>
        <v/>
      </c>
      <c r="G199" s="181" t="n"/>
      <c r="H199" s="181" t="n"/>
      <c r="I199" s="181" t="n"/>
      <c r="J199" s="181" t="n"/>
    </row>
    <row r="200" ht="18" customHeight="1" s="107">
      <c r="A200" s="178" t="n">
        <v>195</v>
      </c>
      <c r="B200" s="179" t="n"/>
      <c r="C200" s="179" t="n"/>
      <c r="D200" s="179" t="n"/>
      <c r="E200" s="179" t="n"/>
      <c r="F200" s="179">
        <f>IF(D200="","",E200+1)</f>
        <v/>
      </c>
      <c r="G200" s="179" t="n"/>
      <c r="H200" s="179" t="n"/>
      <c r="I200" s="179" t="n"/>
      <c r="J200" s="179" t="n"/>
    </row>
    <row r="201" ht="18" customHeight="1" s="107">
      <c r="A201" s="180" t="n">
        <v>196</v>
      </c>
      <c r="B201" s="181" t="n"/>
      <c r="C201" s="181" t="n"/>
      <c r="D201" s="181" t="n"/>
      <c r="E201" s="181" t="n"/>
      <c r="F201" s="181">
        <f>IF(D201="","",E201+1)</f>
        <v/>
      </c>
      <c r="G201" s="181" t="n"/>
      <c r="H201" s="181" t="n"/>
      <c r="I201" s="181" t="n"/>
      <c r="J201" s="181" t="n"/>
    </row>
    <row r="202" ht="18" customHeight="1" s="107">
      <c r="A202" s="178" t="n">
        <v>197</v>
      </c>
      <c r="B202" s="179" t="n"/>
      <c r="C202" s="179" t="n"/>
      <c r="D202" s="179" t="n"/>
      <c r="E202" s="179" t="n"/>
      <c r="F202" s="179">
        <f>IF(D202="","",E202+1)</f>
        <v/>
      </c>
      <c r="G202" s="179" t="n"/>
      <c r="H202" s="179" t="n"/>
      <c r="I202" s="179" t="n"/>
      <c r="J202" s="179" t="n"/>
    </row>
    <row r="203" ht="18" customHeight="1" s="107">
      <c r="A203" s="180" t="n">
        <v>198</v>
      </c>
      <c r="B203" s="181" t="n"/>
      <c r="C203" s="181" t="n"/>
      <c r="D203" s="181" t="n"/>
      <c r="E203" s="181" t="n"/>
      <c r="F203" s="181">
        <f>IF(D203="","",E203+1)</f>
        <v/>
      </c>
      <c r="G203" s="181" t="n"/>
      <c r="H203" s="181" t="n"/>
      <c r="I203" s="181" t="n"/>
      <c r="J203" s="181" t="n"/>
    </row>
    <row r="204" ht="18" customHeight="1" s="107">
      <c r="A204" s="178" t="n">
        <v>199</v>
      </c>
      <c r="B204" s="179" t="n"/>
      <c r="C204" s="179" t="n"/>
      <c r="D204" s="179" t="n"/>
      <c r="E204" s="179" t="n"/>
      <c r="F204" s="179">
        <f>IF(D204="","",E204+1)</f>
        <v/>
      </c>
      <c r="G204" s="179" t="n"/>
      <c r="H204" s="179" t="n"/>
      <c r="I204" s="179" t="n"/>
      <c r="J204" s="179" t="n"/>
    </row>
    <row r="205" ht="18" customHeight="1" s="107">
      <c r="A205" s="180" t="n">
        <v>200</v>
      </c>
      <c r="B205" s="181" t="n"/>
      <c r="C205" s="181" t="n"/>
      <c r="D205" s="181" t="n"/>
      <c r="E205" s="181" t="n"/>
      <c r="F205" s="181">
        <f>IF(D205="","",E205+1)</f>
        <v/>
      </c>
      <c r="G205" s="181" t="n"/>
      <c r="H205" s="181" t="n"/>
      <c r="I205" s="181" t="n"/>
      <c r="J205" s="181" t="n"/>
    </row>
  </sheetData>
  <mergeCells count="2">
    <mergeCell ref="A1:J1"/>
    <mergeCell ref="A2:J2"/>
  </mergeCells>
  <dataValidations count="1">
    <dataValidation sqref="D6:D205" showDropDown="0" showInputMessage="0" showErrorMessage="0" allowBlank="1" type="list" errorStyle="stop" operator="between">
      <formula1>"Sí,No,Pendiente"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2E7D32"/>
    <outlinePr summaryBelow="1" summaryRight="1"/>
    <pageSetUpPr fitToPage="0"/>
  </sheetPr>
  <dimension ref="A1:J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06" min="1" max="1"/>
    <col width="38" customWidth="1" style="106" min="2" max="2"/>
    <col width="20" customWidth="1" style="106" min="3" max="3"/>
    <col width="14" customWidth="1" style="106" min="4" max="4"/>
    <col width="10" customWidth="1" style="106" min="5" max="5"/>
    <col width="16" customWidth="1" style="106" min="6" max="6"/>
    <col width="28" customWidth="1" style="106" min="7" max="7"/>
  </cols>
  <sheetData>
    <row r="1" ht="30" customHeight="1" s="107">
      <c r="A1" s="182" t="inlineStr">
        <is>
          <t>✅ CHECKLIST POR FASES</t>
        </is>
      </c>
    </row>
    <row r="2" ht="18" customHeight="1" s="107">
      <c r="A2" s="139" t="inlineStr">
        <is>
          <t>Tareas organizadas por etapa — marca ✓ cuando completes cada una</t>
        </is>
      </c>
    </row>
    <row r="3" ht="17.25" customHeight="1" s="107">
      <c r="A3" s="183" t="inlineStr">
        <is>
          <t>📊 PROGRESO GENERAL</t>
        </is>
      </c>
      <c r="B3" s="114" t="n"/>
      <c r="C3" s="114" t="n"/>
      <c r="D3" s="114" t="n"/>
      <c r="E3" s="184">
        <f>COUNTIF(E5:E200,"✓")&amp;" de "&amp;COUNTA(A5:A200)&amp;" tareas completadas"</f>
        <v/>
      </c>
      <c r="F3" s="114" t="n"/>
      <c r="G3" s="185">
        <f>IFERROR(COUNTIF(E5:E200,"✓")/COUNTA(A5:A200),0)</f>
        <v/>
      </c>
      <c r="H3" s="114" t="n"/>
    </row>
    <row r="4" ht="15" customHeight="1" s="107">
      <c r="A4" s="186" t="inlineStr">
        <is>
          <t>N°</t>
        </is>
      </c>
      <c r="B4" s="186" t="inlineStr">
        <is>
          <t>Tarea</t>
        </is>
      </c>
      <c r="C4" s="186" t="inlineStr">
        <is>
          <t>Responsable</t>
        </is>
      </c>
      <c r="D4" s="186" t="inlineStr">
        <is>
          <t>Fecha Límite</t>
        </is>
      </c>
      <c r="E4" s="186" t="inlineStr">
        <is>
          <t>Estado</t>
        </is>
      </c>
      <c r="F4" s="186" t="inlineStr">
        <is>
          <t>Completado</t>
        </is>
      </c>
      <c r="G4" s="186" t="inlineStr">
        <is>
          <t>Notas</t>
        </is>
      </c>
    </row>
    <row r="5" ht="24" customHeight="1" s="107">
      <c r="A5" s="187" t="inlineStr">
        <is>
          <t xml:space="preserve">  📅 FASE 1: 12-6 MESES ANTES DEL EVENTO</t>
        </is>
      </c>
    </row>
    <row r="6" ht="18" customHeight="1" s="107">
      <c r="A6" s="188" t="n">
        <v>1</v>
      </c>
      <c r="B6" s="189" t="inlineStr">
        <is>
          <t>Definir presupuesto total del evento</t>
        </is>
      </c>
      <c r="C6" s="190" t="inlineStr">
        <is>
          <t>Novios/Familia</t>
        </is>
      </c>
      <c r="D6" s="188" t="inlineStr">
        <is>
          <t>12 meses antes</t>
        </is>
      </c>
      <c r="E6" s="188" t="inlineStr">
        <is>
          <t>✓</t>
        </is>
      </c>
      <c r="F6" s="188">
        <f>IF(E6="✓","✅ Completado","⏳ Pendiente")</f>
        <v/>
      </c>
      <c r="G6" s="190" t="n"/>
    </row>
    <row r="7" ht="18" customHeight="1" s="107">
      <c r="A7" s="188" t="n">
        <v>2</v>
      </c>
      <c r="B7" s="189" t="inlineStr">
        <is>
          <t>Elegir y reservar la locación/salón</t>
        </is>
      </c>
      <c r="C7" s="190" t="inlineStr">
        <is>
          <t>Novios + Planner</t>
        </is>
      </c>
      <c r="D7" s="188" t="inlineStr">
        <is>
          <t>12 meses antes</t>
        </is>
      </c>
      <c r="E7" s="188" t="inlineStr">
        <is>
          <t>✓</t>
        </is>
      </c>
      <c r="F7" s="188">
        <f>IF(E7="✓","✅ Completado","⏳ Pendiente")</f>
        <v/>
      </c>
      <c r="G7" s="190" t="n"/>
    </row>
    <row r="8" ht="18" customHeight="1" s="107">
      <c r="A8" s="188" t="n">
        <v>3</v>
      </c>
      <c r="B8" s="189" t="inlineStr">
        <is>
          <t>Contratar wedding planner</t>
        </is>
      </c>
      <c r="C8" s="190" t="inlineStr">
        <is>
          <t>Novios</t>
        </is>
      </c>
      <c r="D8" s="188" t="inlineStr">
        <is>
          <t>11 meses antes</t>
        </is>
      </c>
      <c r="E8" s="188" t="inlineStr">
        <is>
          <t>✓</t>
        </is>
      </c>
      <c r="F8" s="188">
        <f>IF(E8="✓","✅ Completado","⏳ Pendiente")</f>
        <v/>
      </c>
      <c r="G8" s="190" t="n"/>
    </row>
    <row r="9" ht="18" customHeight="1" s="107">
      <c r="A9" s="188" t="n">
        <v>4</v>
      </c>
      <c r="B9" s="189" t="inlineStr">
        <is>
          <t>Establecer lista preliminar de invitados</t>
        </is>
      </c>
      <c r="C9" s="190" t="inlineStr">
        <is>
          <t>Familia</t>
        </is>
      </c>
      <c r="D9" s="188" t="inlineStr">
        <is>
          <t>10 meses antes</t>
        </is>
      </c>
      <c r="E9" s="188" t="inlineStr">
        <is>
          <t>✓</t>
        </is>
      </c>
      <c r="F9" s="188">
        <f>IF(E9="✓","✅ Completado","⏳ Pendiente")</f>
        <v/>
      </c>
      <c r="G9" s="190" t="n"/>
    </row>
    <row r="10" ht="18" customHeight="1" s="107">
      <c r="A10" s="188" t="n">
        <v>5</v>
      </c>
      <c r="B10" s="189" t="inlineStr">
        <is>
          <t>Elegir fecha y hora del evento</t>
        </is>
      </c>
      <c r="C10" s="190" t="inlineStr">
        <is>
          <t>Novios</t>
        </is>
      </c>
      <c r="D10" s="188" t="inlineStr">
        <is>
          <t>11 meses antes</t>
        </is>
      </c>
      <c r="E10" s="188" t="inlineStr">
        <is>
          <t>✓</t>
        </is>
      </c>
      <c r="F10" s="188">
        <f>IF(E10="✓","✅ Completado","⏳ Pendiente")</f>
        <v/>
      </c>
      <c r="G10" s="190" t="n"/>
    </row>
    <row r="11" ht="18" customHeight="1" s="107">
      <c r="A11" s="188" t="n">
        <v>6</v>
      </c>
      <c r="B11" s="189" t="inlineStr">
        <is>
          <t>Definir tema y paleta de colores</t>
        </is>
      </c>
      <c r="C11" s="190" t="inlineStr">
        <is>
          <t>Novios + Decorador</t>
        </is>
      </c>
      <c r="D11" s="188" t="inlineStr">
        <is>
          <t>10 meses antes</t>
        </is>
      </c>
      <c r="E11" s="188" t="inlineStr">
        <is>
          <t>✓</t>
        </is>
      </c>
      <c r="F11" s="188">
        <f>IF(E11="✓","✅ Completado","⏳ Pendiente")</f>
        <v/>
      </c>
      <c r="G11" s="190" t="n"/>
    </row>
    <row r="12" ht="18" customHeight="1" s="107">
      <c r="A12" s="159" t="n">
        <v>7</v>
      </c>
      <c r="B12" s="160" t="inlineStr">
        <is>
          <t>Contratar fotógrafo y videógrafo</t>
        </is>
      </c>
      <c r="C12" s="160" t="inlineStr">
        <is>
          <t>Planner</t>
        </is>
      </c>
      <c r="D12" s="159" t="inlineStr">
        <is>
          <t>9 meses antes</t>
        </is>
      </c>
      <c r="E12" s="159" t="n"/>
      <c r="F12" s="159">
        <f>IF(E12="✓","✅ Completado","⏳ Pendiente")</f>
        <v/>
      </c>
      <c r="G12" s="160" t="n"/>
    </row>
    <row r="13" ht="18" customHeight="1" s="107">
      <c r="A13" s="156" t="n">
        <v>8</v>
      </c>
      <c r="B13" s="145" t="inlineStr">
        <is>
          <t>Elegir y reservar banquete/catering</t>
        </is>
      </c>
      <c r="C13" s="145" t="inlineStr">
        <is>
          <t>Planner</t>
        </is>
      </c>
      <c r="D13" s="156" t="inlineStr">
        <is>
          <t>9 meses antes</t>
        </is>
      </c>
      <c r="E13" s="156" t="n"/>
      <c r="F13" s="156">
        <f>IF(E13="✓","✅ Completado","⏳ Pendiente")</f>
        <v/>
      </c>
      <c r="G13" s="145" t="n"/>
    </row>
    <row r="14" ht="18" customHeight="1" s="107">
      <c r="A14" s="159" t="n">
        <v>9</v>
      </c>
      <c r="B14" s="160" t="inlineStr">
        <is>
          <t>Seleccionar tipo de entretenimiento</t>
        </is>
      </c>
      <c r="C14" s="160" t="inlineStr">
        <is>
          <t>Novios + Planner</t>
        </is>
      </c>
      <c r="D14" s="159" t="inlineStr">
        <is>
          <t>8 meses antes</t>
        </is>
      </c>
      <c r="E14" s="159" t="n"/>
      <c r="F14" s="159">
        <f>IF(E14="✓","✅ Completado","⏳ Pendiente")</f>
        <v/>
      </c>
      <c r="G14" s="160" t="n"/>
    </row>
    <row r="15" ht="18" customHeight="1" s="107">
      <c r="A15" s="156" t="n">
        <v>10</v>
      </c>
      <c r="B15" s="145" t="inlineStr">
        <is>
          <t>Abrir registro de mesa de regalos</t>
        </is>
      </c>
      <c r="C15" s="145" t="inlineStr">
        <is>
          <t>Novios</t>
        </is>
      </c>
      <c r="D15" s="156" t="inlineStr">
        <is>
          <t>8 meses antes</t>
        </is>
      </c>
      <c r="E15" s="156" t="n"/>
      <c r="F15" s="156">
        <f>IF(E15="✓","✅ Completado","⏳ Pendiente")</f>
        <v/>
      </c>
      <c r="G15" s="145" t="n"/>
    </row>
    <row r="16" ht="24" customHeight="1" s="107">
      <c r="A16" s="187" t="inlineStr">
        <is>
          <t xml:space="preserve">  📅 FASE 2: 6-3 MESES ANTES DEL EVENTO</t>
        </is>
      </c>
    </row>
    <row r="17" ht="18" customHeight="1" s="107">
      <c r="A17" s="159" t="n">
        <v>11</v>
      </c>
      <c r="B17" s="160" t="inlineStr">
        <is>
          <t>Elegir vestido de novia/quinceañera</t>
        </is>
      </c>
      <c r="C17" s="160" t="inlineStr">
        <is>
          <t>Novia</t>
        </is>
      </c>
      <c r="D17" s="159" t="inlineStr">
        <is>
          <t>6 meses antes</t>
        </is>
      </c>
      <c r="E17" s="159" t="n"/>
      <c r="F17" s="159">
        <f>IF(E17="✓","✅ Completado","⏳ Pendiente")</f>
        <v/>
      </c>
      <c r="G17" s="160" t="n"/>
    </row>
    <row r="18" ht="18" customHeight="1" s="107">
      <c r="A18" s="156" t="n">
        <v>12</v>
      </c>
      <c r="B18" s="145" t="inlineStr">
        <is>
          <t>Contratar DJ o música en vivo</t>
        </is>
      </c>
      <c r="C18" s="145" t="inlineStr">
        <is>
          <t>Planner</t>
        </is>
      </c>
      <c r="D18" s="156" t="inlineStr">
        <is>
          <t>6 meses antes</t>
        </is>
      </c>
      <c r="E18" s="156" t="n"/>
      <c r="F18" s="156">
        <f>IF(E18="✓","✅ Completado","⏳ Pendiente")</f>
        <v/>
      </c>
      <c r="G18" s="145" t="n"/>
    </row>
    <row r="19" ht="18" customHeight="1" s="107">
      <c r="A19" s="159" t="n">
        <v>13</v>
      </c>
      <c r="B19" s="160" t="inlineStr">
        <is>
          <t>Definir menú del banquete</t>
        </is>
      </c>
      <c r="C19" s="160" t="inlineStr">
        <is>
          <t>Pareja + Catering</t>
        </is>
      </c>
      <c r="D19" s="159" t="inlineStr">
        <is>
          <t>5 meses antes</t>
        </is>
      </c>
      <c r="E19" s="159" t="n"/>
      <c r="F19" s="159">
        <f>IF(E19="✓","✅ Completado","⏳ Pendiente")</f>
        <v/>
      </c>
      <c r="G19" s="160" t="n"/>
    </row>
    <row r="20" ht="18" customHeight="1" s="107">
      <c r="A20" s="156" t="n">
        <v>14</v>
      </c>
      <c r="B20" s="145" t="inlineStr">
        <is>
          <t>Contratar decorador y diseño floral</t>
        </is>
      </c>
      <c r="C20" s="145" t="inlineStr">
        <is>
          <t>Planner</t>
        </is>
      </c>
      <c r="D20" s="156" t="inlineStr">
        <is>
          <t>5 meses antes</t>
        </is>
      </c>
      <c r="E20" s="156" t="n"/>
      <c r="F20" s="156">
        <f>IF(E20="✓","✅ Completado","⏳ Pendiente")</f>
        <v/>
      </c>
      <c r="G20" s="145" t="n"/>
    </row>
    <row r="21" ht="18" customHeight="1" s="107">
      <c r="A21" s="159" t="n">
        <v>15</v>
      </c>
      <c r="B21" s="160" t="inlineStr">
        <is>
          <t>Diseñar e imprimir invitaciones</t>
        </is>
      </c>
      <c r="C21" s="160" t="inlineStr">
        <is>
          <t>Planner + Diseñador</t>
        </is>
      </c>
      <c r="D21" s="159" t="inlineStr">
        <is>
          <t>5 meses antes</t>
        </is>
      </c>
      <c r="E21" s="159" t="n"/>
      <c r="F21" s="159">
        <f>IF(E21="✓","✅ Completado","⏳ Pendiente")</f>
        <v/>
      </c>
      <c r="G21" s="160" t="n"/>
    </row>
    <row r="22" ht="18" customHeight="1" s="107">
      <c r="A22" s="156" t="n">
        <v>16</v>
      </c>
      <c r="B22" s="145" t="inlineStr">
        <is>
          <t>Contratar coreógrafo</t>
        </is>
      </c>
      <c r="C22" s="145" t="inlineStr">
        <is>
          <t>Novios</t>
        </is>
      </c>
      <c r="D22" s="156" t="inlineStr">
        <is>
          <t>5 meses antes</t>
        </is>
      </c>
      <c r="E22" s="156" t="n"/>
      <c r="F22" s="156">
        <f>IF(E22="✓","✅ Completado","⏳ Pendiente")</f>
        <v/>
      </c>
      <c r="G22" s="145" t="n"/>
    </row>
    <row r="23" ht="18" customHeight="1" s="107">
      <c r="A23" s="159" t="n">
        <v>17</v>
      </c>
      <c r="B23" s="160" t="inlineStr">
        <is>
          <t>Reservar hotel para invitados foráneos</t>
        </is>
      </c>
      <c r="C23" s="160" t="inlineStr">
        <is>
          <t>Planner</t>
        </is>
      </c>
      <c r="D23" s="159" t="inlineStr">
        <is>
          <t>4 meses antes</t>
        </is>
      </c>
      <c r="E23" s="159" t="n"/>
      <c r="F23" s="159">
        <f>IF(E23="✓","✅ Completado","⏳ Pendiente")</f>
        <v/>
      </c>
      <c r="G23" s="160" t="n"/>
    </row>
    <row r="24" ht="18" customHeight="1" s="107">
      <c r="A24" s="156" t="n">
        <v>18</v>
      </c>
      <c r="B24" s="145" t="inlineStr">
        <is>
          <t>Contratar maquillista y estilista</t>
        </is>
      </c>
      <c r="C24" s="145" t="inlineStr">
        <is>
          <t>Novia</t>
        </is>
      </c>
      <c r="D24" s="156" t="inlineStr">
        <is>
          <t>4 meses antes</t>
        </is>
      </c>
      <c r="E24" s="156" t="n"/>
      <c r="F24" s="156">
        <f>IF(E24="✓","✅ Completado","⏳ Pendiente")</f>
        <v/>
      </c>
      <c r="G24" s="145" t="n"/>
    </row>
    <row r="25" ht="18" customHeight="1" s="107">
      <c r="A25" s="159" t="n">
        <v>19</v>
      </c>
      <c r="B25" s="160" t="inlineStr">
        <is>
          <t>Enviar invitaciones</t>
        </is>
      </c>
      <c r="C25" s="160" t="inlineStr">
        <is>
          <t>Planner</t>
        </is>
      </c>
      <c r="D25" s="159" t="inlineStr">
        <is>
          <t>3 meses antes</t>
        </is>
      </c>
      <c r="E25" s="159" t="n"/>
      <c r="F25" s="159">
        <f>IF(E25="✓","✅ Completado","⏳ Pendiente")</f>
        <v/>
      </c>
      <c r="G25" s="160" t="n"/>
    </row>
    <row r="26" ht="18" customHeight="1" s="107">
      <c r="A26" s="156" t="n">
        <v>20</v>
      </c>
      <c r="B26" s="145" t="inlineStr">
        <is>
          <t>Contratar transporte para invitados</t>
        </is>
      </c>
      <c r="C26" s="145" t="inlineStr">
        <is>
          <t>Planner</t>
        </is>
      </c>
      <c r="D26" s="156" t="inlineStr">
        <is>
          <t>3 meses antes</t>
        </is>
      </c>
      <c r="E26" s="156" t="n"/>
      <c r="F26" s="156">
        <f>IF(E26="✓","✅ Completado","⏳ Pendiente")</f>
        <v/>
      </c>
      <c r="G26" s="145" t="n"/>
    </row>
    <row r="27" ht="18" customHeight="1" s="107">
      <c r="A27" s="159" t="n">
        <v>21</v>
      </c>
      <c r="B27" s="160" t="inlineStr">
        <is>
          <t>Contratar mariachi o entretenimiento extra</t>
        </is>
      </c>
      <c r="C27" s="160" t="inlineStr">
        <is>
          <t>Planner</t>
        </is>
      </c>
      <c r="D27" s="159" t="inlineStr">
        <is>
          <t>3 meses antes</t>
        </is>
      </c>
      <c r="E27" s="159" t="n"/>
      <c r="F27" s="159">
        <f>IF(E27="✓","✅ Completado","⏳ Pendiente")</f>
        <v/>
      </c>
      <c r="G27" s="160" t="n"/>
    </row>
    <row r="28" ht="18" customHeight="1" s="107">
      <c r="A28" s="156" t="n">
        <v>22</v>
      </c>
      <c r="B28" s="145" t="inlineStr">
        <is>
          <t>Definir diseño de pastel</t>
        </is>
      </c>
      <c r="C28" s="145" t="inlineStr">
        <is>
          <t>Novios + Pastelero</t>
        </is>
      </c>
      <c r="D28" s="156" t="inlineStr">
        <is>
          <t>3 meses antes</t>
        </is>
      </c>
      <c r="E28" s="156" t="n"/>
      <c r="F28" s="156">
        <f>IF(E28="✓","✅ Completado","⏳ Pendiente")</f>
        <v/>
      </c>
      <c r="G28" s="145" t="n"/>
    </row>
    <row r="29" ht="24" customHeight="1" s="107">
      <c r="A29" s="187" t="inlineStr">
        <is>
          <t xml:space="preserve">  📅 FASE 3: 3-1 MES ANTES DEL EVENTO</t>
        </is>
      </c>
    </row>
    <row r="30" ht="18" customHeight="1" s="107">
      <c r="A30" s="159" t="n">
        <v>23</v>
      </c>
      <c r="B30" s="160" t="inlineStr">
        <is>
          <t>Confirmar todos los proveedores</t>
        </is>
      </c>
      <c r="C30" s="160" t="inlineStr">
        <is>
          <t>Planner</t>
        </is>
      </c>
      <c r="D30" s="159" t="inlineStr">
        <is>
          <t>2 meses antes</t>
        </is>
      </c>
      <c r="E30" s="159" t="n"/>
      <c r="F30" s="159">
        <f>IF(E30="✓","✅ Completado","⏳ Pendiente")</f>
        <v/>
      </c>
      <c r="G30" s="160" t="n"/>
    </row>
    <row r="31" ht="18" customHeight="1" s="107">
      <c r="A31" s="156" t="n">
        <v>24</v>
      </c>
      <c r="B31" s="145" t="inlineStr">
        <is>
          <t>Iniciar clases de baile / ensayos</t>
        </is>
      </c>
      <c r="C31" s="145" t="inlineStr">
        <is>
          <t>Novios + Coreógrafo</t>
        </is>
      </c>
      <c r="D31" s="156" t="inlineStr">
        <is>
          <t>2 meses antes</t>
        </is>
      </c>
      <c r="E31" s="156" t="n"/>
      <c r="F31" s="156">
        <f>IF(E31="✓","✅ Completado","⏳ Pendiente")</f>
        <v/>
      </c>
      <c r="G31" s="145" t="n"/>
    </row>
    <row r="32" ht="18" customHeight="1" s="107">
      <c r="A32" s="159" t="n">
        <v>25</v>
      </c>
      <c r="B32" s="160" t="inlineStr">
        <is>
          <t>Realizar prueba de maquillaje</t>
        </is>
      </c>
      <c r="C32" s="160" t="inlineStr">
        <is>
          <t>Novia + Maquillista</t>
        </is>
      </c>
      <c r="D32" s="159" t="inlineStr">
        <is>
          <t>2 meses antes</t>
        </is>
      </c>
      <c r="E32" s="159" t="n"/>
      <c r="F32" s="159">
        <f>IF(E32="✓","✅ Completado","⏳ Pendiente")</f>
        <v/>
      </c>
      <c r="G32" s="160" t="n"/>
    </row>
    <row r="33" ht="18" customHeight="1" s="107">
      <c r="A33" s="156" t="n">
        <v>26</v>
      </c>
      <c r="B33" s="145" t="inlineStr">
        <is>
          <t>Seguimiento de confirmaciones de invitados</t>
        </is>
      </c>
      <c r="C33" s="145" t="inlineStr">
        <is>
          <t>Planner</t>
        </is>
      </c>
      <c r="D33" s="156" t="inlineStr">
        <is>
          <t>6 semanas antes</t>
        </is>
      </c>
      <c r="E33" s="156" t="n"/>
      <c r="F33" s="156">
        <f>IF(E33="✓","✅ Completado","⏳ Pendiente")</f>
        <v/>
      </c>
      <c r="G33" s="145" t="n"/>
    </row>
    <row r="34" ht="18" customHeight="1" s="107">
      <c r="A34" s="159" t="n">
        <v>27</v>
      </c>
      <c r="B34" s="160" t="inlineStr">
        <is>
          <t>Diseñar seating plan (mesas)</t>
        </is>
      </c>
      <c r="C34" s="160" t="inlineStr">
        <is>
          <t>Planner</t>
        </is>
      </c>
      <c r="D34" s="159" t="inlineStr">
        <is>
          <t>1.5 meses antes</t>
        </is>
      </c>
      <c r="E34" s="159" t="n"/>
      <c r="F34" s="159">
        <f>IF(E34="✓","✅ Completado","⏳ Pendiente")</f>
        <v/>
      </c>
      <c r="G34" s="160" t="n"/>
    </row>
    <row r="35" ht="18" customHeight="1" s="107">
      <c r="A35" s="156" t="n">
        <v>28</v>
      </c>
      <c r="B35" s="145" t="inlineStr">
        <is>
          <t>Coordinar música de ceremonia y recepción</t>
        </is>
      </c>
      <c r="C35" s="145" t="inlineStr">
        <is>
          <t>DJ + Planner</t>
        </is>
      </c>
      <c r="D35" s="156" t="inlineStr">
        <is>
          <t>1 mes antes</t>
        </is>
      </c>
      <c r="E35" s="156" t="n"/>
      <c r="F35" s="156">
        <f>IF(E35="✓","✅ Completado","⏳ Pendiente")</f>
        <v/>
      </c>
      <c r="G35" s="145" t="n"/>
    </row>
    <row r="36" ht="18" customHeight="1" s="107">
      <c r="A36" s="159" t="n">
        <v>29</v>
      </c>
      <c r="B36" s="160" t="inlineStr">
        <is>
          <t>Entregar seating plan final</t>
        </is>
      </c>
      <c r="C36" s="160" t="inlineStr">
        <is>
          <t>Planner</t>
        </is>
      </c>
      <c r="D36" s="159" t="inlineStr">
        <is>
          <t>3 semanas antes</t>
        </is>
      </c>
      <c r="E36" s="159" t="n"/>
      <c r="F36" s="159">
        <f>IF(E36="✓","✅ Completado","⏳ Pendiente")</f>
        <v/>
      </c>
      <c r="G36" s="160" t="n"/>
    </row>
    <row r="37" ht="18" customHeight="1" s="107">
      <c r="A37" s="156" t="n">
        <v>30</v>
      </c>
      <c r="B37" s="145" t="inlineStr">
        <is>
          <t>Confirmar menú definitivo con catering</t>
        </is>
      </c>
      <c r="C37" s="145" t="inlineStr">
        <is>
          <t>Planner + Catering</t>
        </is>
      </c>
      <c r="D37" s="156" t="inlineStr">
        <is>
          <t>3 semanas antes</t>
        </is>
      </c>
      <c r="E37" s="156" t="n"/>
      <c r="F37" s="156">
        <f>IF(E37="✓","✅ Completado","⏳ Pendiente")</f>
        <v/>
      </c>
      <c r="G37" s="145" t="n"/>
    </row>
    <row r="38" ht="18" customHeight="1" s="107">
      <c r="A38" s="159" t="n">
        <v>31</v>
      </c>
      <c r="B38" s="160" t="inlineStr">
        <is>
          <t>Entregar timing del evento a proveedores</t>
        </is>
      </c>
      <c r="C38" s="160" t="inlineStr">
        <is>
          <t>Planner</t>
        </is>
      </c>
      <c r="D38" s="159" t="inlineStr">
        <is>
          <t>2 semanas antes</t>
        </is>
      </c>
      <c r="E38" s="159" t="n"/>
      <c r="F38" s="159">
        <f>IF(E38="✓","✅ Completado","⏳ Pendiente")</f>
        <v/>
      </c>
      <c r="G38" s="160" t="n"/>
    </row>
    <row r="39" ht="18" customHeight="1" s="107">
      <c r="A39" s="156" t="n">
        <v>32</v>
      </c>
      <c r="B39" s="145" t="inlineStr">
        <is>
          <t>Preparar pagos finales</t>
        </is>
      </c>
      <c r="C39" s="145" t="inlineStr">
        <is>
          <t>Familia/Novios</t>
        </is>
      </c>
      <c r="D39" s="156" t="inlineStr">
        <is>
          <t>2 semanas antes</t>
        </is>
      </c>
      <c r="E39" s="156" t="n"/>
      <c r="F39" s="156">
        <f>IF(E39="✓","✅ Completado","⏳ Pendiente")</f>
        <v/>
      </c>
      <c r="G39" s="145" t="n"/>
    </row>
    <row r="40" ht="24" customHeight="1" s="107">
      <c r="A40" s="187" t="inlineStr">
        <is>
          <t xml:space="preserve">  📅 FASE 4: SEMANA DEL EVENTO</t>
        </is>
      </c>
    </row>
    <row r="41" ht="18" customHeight="1" s="107">
      <c r="A41" s="159" t="n">
        <v>33</v>
      </c>
      <c r="B41" s="160" t="inlineStr">
        <is>
          <t>Confirmar llegada y horarios de proveedores</t>
        </is>
      </c>
      <c r="C41" s="160" t="inlineStr">
        <is>
          <t>Planner</t>
        </is>
      </c>
      <c r="D41" s="159" t="inlineStr">
        <is>
          <t>5 días antes</t>
        </is>
      </c>
      <c r="E41" s="159" t="n"/>
      <c r="F41" s="159">
        <f>IF(E41="✓","✅ Completado","⏳ Pendiente")</f>
        <v/>
      </c>
      <c r="G41" s="160" t="n"/>
    </row>
    <row r="42" ht="18" customHeight="1" s="107">
      <c r="A42" s="156" t="n">
        <v>34</v>
      </c>
      <c r="B42" s="145" t="inlineStr">
        <is>
          <t>Prueba de menú final con catering</t>
        </is>
      </c>
      <c r="C42" s="145" t="inlineStr">
        <is>
          <t>Planner + Catering</t>
        </is>
      </c>
      <c r="D42" s="156" t="inlineStr">
        <is>
          <t>5 días antes</t>
        </is>
      </c>
      <c r="E42" s="156" t="n"/>
      <c r="F42" s="156">
        <f>IF(E42="✓","✅ Completado","⏳ Pendiente")</f>
        <v/>
      </c>
      <c r="G42" s="145" t="n"/>
    </row>
    <row r="43" ht="18" customHeight="1" s="107">
      <c r="A43" s="159" t="n">
        <v>35</v>
      </c>
      <c r="B43" s="160" t="inlineStr">
        <is>
          <t>Preparar kit de emergencia del evento</t>
        </is>
      </c>
      <c r="C43" s="160" t="inlineStr">
        <is>
          <t>Planner</t>
        </is>
      </c>
      <c r="D43" s="159" t="inlineStr">
        <is>
          <t>4 días antes</t>
        </is>
      </c>
      <c r="E43" s="159" t="n"/>
      <c r="F43" s="159">
        <f>IF(E43="✓","✅ Completado","⏳ Pendiente")</f>
        <v/>
      </c>
      <c r="G43" s="160" t="n"/>
    </row>
    <row r="44" ht="18" customHeight="1" s="107">
      <c r="A44" s="156" t="n">
        <v>36</v>
      </c>
      <c r="B44" s="145" t="inlineStr">
        <is>
          <t>Ensayo general de coreografía</t>
        </is>
      </c>
      <c r="C44" s="145" t="inlineStr">
        <is>
          <t>Coreógrafo + Novios</t>
        </is>
      </c>
      <c r="D44" s="156" t="inlineStr">
        <is>
          <t>4 días antes</t>
        </is>
      </c>
      <c r="E44" s="156" t="n"/>
      <c r="F44" s="156">
        <f>IF(E44="✓","✅ Completado","⏳ Pendiente")</f>
        <v/>
      </c>
      <c r="G44" s="145" t="n"/>
    </row>
    <row r="45" ht="18" customHeight="1" s="107">
      <c r="A45" s="159" t="n">
        <v>37</v>
      </c>
      <c r="B45" s="160" t="inlineStr">
        <is>
          <t>Realizar pagos pendientes</t>
        </is>
      </c>
      <c r="C45" s="160" t="inlineStr">
        <is>
          <t>Familia/Novios</t>
        </is>
      </c>
      <c r="D45" s="159" t="inlineStr">
        <is>
          <t>3 días antes</t>
        </is>
      </c>
      <c r="E45" s="159" t="n"/>
      <c r="F45" s="159">
        <f>IF(E45="✓","✅ Completado","⏳ Pendiente")</f>
        <v/>
      </c>
      <c r="G45" s="160" t="n"/>
    </row>
    <row r="46" ht="18" customHeight="1" s="107">
      <c r="A46" s="156" t="n">
        <v>38</v>
      </c>
      <c r="B46" s="145" t="inlineStr">
        <is>
          <t>Confirmar montaje y decoración</t>
        </is>
      </c>
      <c r="C46" s="145" t="inlineStr">
        <is>
          <t>Planner + Decorador</t>
        </is>
      </c>
      <c r="D46" s="156" t="inlineStr">
        <is>
          <t>2 días antes</t>
        </is>
      </c>
      <c r="E46" s="156" t="n"/>
      <c r="F46" s="156">
        <f>IF(E46="✓","✅ Completado","⏳ Pendiente")</f>
        <v/>
      </c>
      <c r="G46" s="145" t="n"/>
    </row>
    <row r="47" ht="18" customHeight="1" s="107">
      <c r="A47" s="159" t="n">
        <v>39</v>
      </c>
      <c r="B47" s="160" t="inlineStr">
        <is>
          <t>Ensayo de ceremonia (si aplica)</t>
        </is>
      </c>
      <c r="C47" s="160" t="inlineStr">
        <is>
          <t>Planner + Novios</t>
        </is>
      </c>
      <c r="D47" s="159" t="inlineStr">
        <is>
          <t>2 días antes</t>
        </is>
      </c>
      <c r="E47" s="159" t="n"/>
      <c r="F47" s="159">
        <f>IF(E47="✓","✅ Completado","⏳ Pendiente")</f>
        <v/>
      </c>
      <c r="G47" s="160" t="n"/>
    </row>
    <row r="48" ht="18" customHeight="1" s="107">
      <c r="A48" s="156" t="n">
        <v>40</v>
      </c>
      <c r="B48" s="145" t="inlineStr">
        <is>
          <t>Supervisar montaje completo</t>
        </is>
      </c>
      <c r="C48" s="145" t="inlineStr">
        <is>
          <t>Planner</t>
        </is>
      </c>
      <c r="D48" s="156" t="inlineStr">
        <is>
          <t>1 día antes</t>
        </is>
      </c>
      <c r="E48" s="156" t="n"/>
      <c r="F48" s="156">
        <f>IF(E48="✓","✅ Completado","⏳ Pendiente")</f>
        <v/>
      </c>
      <c r="G48" s="145" t="n"/>
    </row>
    <row r="49" ht="18" customHeight="1" s="107">
      <c r="A49" s="159" t="n">
        <v>41</v>
      </c>
      <c r="B49" s="160" t="inlineStr">
        <is>
          <t>Confirmar logística de transporte</t>
        </is>
      </c>
      <c r="C49" s="160" t="inlineStr">
        <is>
          <t>Planner</t>
        </is>
      </c>
      <c r="D49" s="159" t="inlineStr">
        <is>
          <t>1 día antes</t>
        </is>
      </c>
      <c r="E49" s="159" t="n"/>
      <c r="F49" s="159">
        <f>IF(E49="✓","✅ Completado","⏳ Pendiente")</f>
        <v/>
      </c>
      <c r="G49" s="160" t="n"/>
    </row>
    <row r="50" ht="18" customHeight="1" s="107">
      <c r="A50" s="156" t="n">
        <v>42</v>
      </c>
      <c r="B50" s="145" t="inlineStr">
        <is>
          <t>Revisar lista final de verificación</t>
        </is>
      </c>
      <c r="C50" s="145" t="inlineStr">
        <is>
          <t>Planner</t>
        </is>
      </c>
      <c r="D50" s="156" t="inlineStr">
        <is>
          <t>Día del evento</t>
        </is>
      </c>
      <c r="E50" s="156" t="n"/>
      <c r="F50" s="156">
        <f>IF(E50="✓","✅ Completado","⏳ Pendiente")</f>
        <v/>
      </c>
      <c r="G50" s="145" t="n"/>
    </row>
    <row r="51" ht="18" customHeight="1" s="107">
      <c r="A51" s="159" t="n">
        <v>43</v>
      </c>
      <c r="B51" s="160" t="inlineStr">
        <is>
          <t>Coordinar llegada y bienvenida</t>
        </is>
      </c>
      <c r="C51" s="160" t="inlineStr">
        <is>
          <t>Planner + Hostess</t>
        </is>
      </c>
      <c r="D51" s="159" t="inlineStr">
        <is>
          <t>Día del evento</t>
        </is>
      </c>
      <c r="E51" s="159" t="n"/>
      <c r="F51" s="159">
        <f>IF(E51="✓","✅ Completado","⏳ Pendiente")</f>
        <v/>
      </c>
      <c r="G51" s="160" t="n"/>
    </row>
    <row r="52" ht="18" customHeight="1" s="107">
      <c r="A52" s="156" t="n">
        <v>44</v>
      </c>
      <c r="B52" s="145" t="inlineStr">
        <is>
          <t>Supervisión total del evento</t>
        </is>
      </c>
      <c r="C52" s="145" t="inlineStr">
        <is>
          <t>Planner + Coordinador</t>
        </is>
      </c>
      <c r="D52" s="156" t="inlineStr">
        <is>
          <t>Día del evento</t>
        </is>
      </c>
      <c r="E52" s="156" t="n"/>
      <c r="F52" s="156">
        <f>IF(E52="✓","✅ Completado","⏳ Pendiente")</f>
        <v/>
      </c>
      <c r="G52" s="145" t="n"/>
    </row>
  </sheetData>
  <mergeCells count="9">
    <mergeCell ref="A1:J1"/>
    <mergeCell ref="A40:G40"/>
    <mergeCell ref="A3:D3"/>
    <mergeCell ref="A16:G16"/>
    <mergeCell ref="A29:G29"/>
    <mergeCell ref="A2:J2"/>
    <mergeCell ref="G3:H3"/>
    <mergeCell ref="E3:F3"/>
    <mergeCell ref="A5:G5"/>
  </mergeCells>
  <dataValidations count="1">
    <dataValidation sqref="E6:E15 E17:E28 E30:E39 E41:E52" showDropDown="0" showInputMessage="0" showErrorMessage="0" allowBlank="1" type="list" errorStyle="stop" operator="between">
      <formula1>"✓,—,En proceso"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C9A84C"/>
    <outlinePr summaryBelow="1" summaryRight="1"/>
    <pageSetUpPr fitToPage="0"/>
  </sheetPr>
  <dimension ref="A1:J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06" min="1" max="1"/>
    <col width="22" customWidth="1" style="106" min="2" max="2"/>
    <col width="16" customWidth="1" style="106" min="3" max="3"/>
    <col width="30" customWidth="1" style="106" min="4" max="4"/>
    <col width="4" customWidth="1" style="106" min="5" max="5"/>
    <col width="26" customWidth="1" style="106" min="6" max="7"/>
    <col width="4" customWidth="1" style="106" min="8" max="10"/>
  </cols>
  <sheetData>
    <row r="1" ht="30" customHeight="1" s="107">
      <c r="A1" s="138" t="inlineStr">
        <is>
          <t>🎨 DISEÑO &amp; CONCEPTO DEL EVENTO</t>
        </is>
      </c>
    </row>
    <row r="2" ht="18" customHeight="1" s="107">
      <c r="A2" s="139" t="inlineStr">
        <is>
          <t>Define la identidad visual y estética de tu evento</t>
        </is>
      </c>
    </row>
    <row r="3" ht="24" customHeight="1" s="107">
      <c r="A3" s="150" t="inlineStr">
        <is>
          <t>🎭 TIPO DE EVENTO</t>
        </is>
      </c>
      <c r="B3" s="114" t="n"/>
      <c r="C3" s="114" t="n"/>
      <c r="D3" s="132" t="n"/>
      <c r="F3" s="191" t="inlineStr">
        <is>
          <t>🏛️ MONTAJE &amp; EXPERIENCIA</t>
        </is>
      </c>
      <c r="G3" s="114" t="n"/>
      <c r="H3" s="114" t="n"/>
      <c r="I3" s="114" t="n"/>
      <c r="J3" s="114" t="n"/>
    </row>
    <row r="4" ht="19.5" customHeight="1" s="107">
      <c r="A4" s="111" t="inlineStr">
        <is>
          <t>Tipo de evento</t>
        </is>
      </c>
      <c r="B4" s="192" t="inlineStr">
        <is>
          <t>Boda</t>
        </is>
      </c>
      <c r="C4" s="114" t="n"/>
      <c r="D4" s="114" t="n"/>
      <c r="F4" s="111" t="inlineStr">
        <is>
          <t>Tipo de montaje</t>
        </is>
      </c>
      <c r="G4" s="192" t="inlineStr">
        <is>
          <t>Banquete con mesas redondas</t>
        </is>
      </c>
      <c r="H4" s="114" t="n"/>
      <c r="I4" s="114" t="n"/>
      <c r="J4" s="114" t="n"/>
    </row>
    <row r="5" ht="19.5" customHeight="1" s="107">
      <c r="A5" s="111" t="inlineStr">
        <is>
          <t>Estilo principal</t>
        </is>
      </c>
      <c r="B5" s="193" t="inlineStr">
        <is>
          <t>Elegante / Romántico</t>
        </is>
      </c>
      <c r="C5" s="114" t="n"/>
      <c r="D5" s="114" t="n"/>
      <c r="F5" s="111" t="inlineStr">
        <is>
          <t>Capacidad por mesa</t>
        </is>
      </c>
      <c r="G5" s="193" t="inlineStr">
        <is>
          <t>10 personas</t>
        </is>
      </c>
      <c r="H5" s="114" t="n"/>
      <c r="I5" s="114" t="n"/>
      <c r="J5" s="114" t="n"/>
    </row>
    <row r="6" ht="19.5" customHeight="1" s="107">
      <c r="A6" s="111" t="inlineStr">
        <is>
          <t>Paleta de colores</t>
        </is>
      </c>
      <c r="B6" s="192" t="inlineStr">
        <is>
          <t>Dorado, Blanco y Verde Salvia</t>
        </is>
      </c>
      <c r="C6" s="114" t="n"/>
      <c r="D6" s="114" t="n"/>
      <c r="F6" s="111" t="inlineStr">
        <is>
          <t>Número de mesas</t>
        </is>
      </c>
      <c r="G6" s="192" t="inlineStr">
        <is>
          <t>15</t>
        </is>
      </c>
      <c r="H6" s="114" t="n"/>
      <c r="I6" s="114" t="n"/>
      <c r="J6" s="114" t="n"/>
    </row>
    <row r="7" ht="19.5" customHeight="1" s="107">
      <c r="A7" s="111" t="inlineStr">
        <is>
          <t>Número de invitados</t>
        </is>
      </c>
      <c r="B7" s="193" t="inlineStr">
        <is>
          <t>150</t>
        </is>
      </c>
      <c r="C7" s="114" t="n"/>
      <c r="D7" s="114" t="n"/>
      <c r="F7" s="111" t="inlineStr">
        <is>
          <t>Tipo de sillas</t>
        </is>
      </c>
      <c r="G7" s="193" t="inlineStr">
        <is>
          <t>Tiffany en blanco</t>
        </is>
      </c>
      <c r="H7" s="114" t="n"/>
      <c r="I7" s="114" t="n"/>
      <c r="J7" s="114" t="n"/>
    </row>
    <row r="8" ht="19.5" customHeight="1" s="107">
      <c r="A8" s="111" t="inlineStr">
        <is>
          <t>Presupuesto aprox.</t>
        </is>
      </c>
      <c r="B8" s="192" t="inlineStr">
        <is>
          <t>$180,000 MXN</t>
        </is>
      </c>
      <c r="C8" s="114" t="n"/>
      <c r="D8" s="114" t="n"/>
      <c r="F8" s="111" t="inlineStr">
        <is>
          <t>Estilo de mantelería</t>
        </is>
      </c>
      <c r="G8" s="192" t="inlineStr">
        <is>
          <t>Lino blanco con caminos dorados</t>
        </is>
      </c>
      <c r="H8" s="114" t="n"/>
      <c r="I8" s="114" t="n"/>
      <c r="J8" s="114" t="n"/>
    </row>
    <row r="9" ht="19.5" customHeight="1" s="107">
      <c r="A9" s="111" t="inlineStr">
        <is>
          <t>Locación</t>
        </is>
      </c>
      <c r="B9" s="193" t="inlineStr">
        <is>
          <t>Hacienda</t>
        </is>
      </c>
      <c r="C9" s="114" t="n"/>
      <c r="D9" s="114" t="n"/>
      <c r="F9" s="111" t="inlineStr">
        <is>
          <t>Iluminación</t>
        </is>
      </c>
      <c r="G9" s="193" t="inlineStr">
        <is>
          <t>Cálida + acentos dorados</t>
        </is>
      </c>
      <c r="H9" s="114" t="n"/>
      <c r="I9" s="114" t="n"/>
      <c r="J9" s="114" t="n"/>
    </row>
    <row r="10" ht="19.5" customHeight="1" s="107">
      <c r="A10" s="111" t="inlineStr">
        <is>
          <t>Temporada</t>
        </is>
      </c>
      <c r="B10" s="192" t="inlineStr">
        <is>
          <t>Otoño</t>
        </is>
      </c>
      <c r="C10" s="114" t="n"/>
      <c r="D10" s="114" t="n"/>
      <c r="F10" s="111" t="inlineStr">
        <is>
          <t>Tipo de pista</t>
        </is>
      </c>
      <c r="G10" s="192" t="inlineStr">
        <is>
          <t>Pista de madera 6x6m</t>
        </is>
      </c>
      <c r="H10" s="114" t="n"/>
      <c r="I10" s="114" t="n"/>
      <c r="J10" s="114" t="n"/>
    </row>
    <row r="11" ht="19.5" customHeight="1" s="107">
      <c r="A11" s="111" t="inlineStr">
        <is>
          <t>Hora del día</t>
        </is>
      </c>
      <c r="B11" s="193" t="inlineStr">
        <is>
          <t>Tarde-Noche</t>
        </is>
      </c>
      <c r="C11" s="114" t="n"/>
      <c r="D11" s="114" t="n"/>
      <c r="F11" s="111" t="inlineStr">
        <is>
          <t>Escenario / Tarima</t>
        </is>
      </c>
      <c r="G11" s="193" t="inlineStr">
        <is>
          <t>Tarima 4x3m para entretenimiento</t>
        </is>
      </c>
      <c r="H11" s="114" t="n"/>
      <c r="I11" s="114" t="n"/>
      <c r="J11" s="114" t="n"/>
    </row>
    <row r="12" ht="19.5" customHeight="1" s="107">
      <c r="F12" s="111" t="inlineStr">
        <is>
          <t>Área lounge</t>
        </is>
      </c>
      <c r="G12" s="192" t="inlineStr">
        <is>
          <t>Sí — zona de descanso VIP</t>
        </is>
      </c>
      <c r="H12" s="114" t="n"/>
      <c r="I12" s="114" t="n"/>
      <c r="J12" s="114" t="n"/>
    </row>
    <row r="13" ht="19.5" customHeight="1" s="107">
      <c r="A13" s="194" t="inlineStr">
        <is>
          <t>🎨 PALETA DE COLORES</t>
        </is>
      </c>
      <c r="B13" s="114" t="n"/>
      <c r="C13" s="114" t="n"/>
      <c r="D13" s="114" t="n"/>
      <c r="F13" s="111" t="inlineStr">
        <is>
          <t>Área kids</t>
        </is>
      </c>
      <c r="G13" s="193" t="inlineStr">
        <is>
          <t>No aplica</t>
        </is>
      </c>
      <c r="H13" s="114" t="n"/>
      <c r="I13" s="114" t="n"/>
      <c r="J13" s="114" t="n"/>
    </row>
    <row r="14" ht="15" customHeight="1" s="107">
      <c r="A14" s="140" t="inlineStr">
        <is>
          <t>Color</t>
        </is>
      </c>
      <c r="B14" s="140" t="inlineStr">
        <is>
          <t>Nombre</t>
        </is>
      </c>
      <c r="C14" s="140" t="inlineStr">
        <is>
          <t>HEX</t>
        </is>
      </c>
      <c r="D14" s="140" t="inlineStr">
        <is>
          <t>Uso en el evento</t>
        </is>
      </c>
    </row>
    <row r="15" ht="21.75" customHeight="1" s="107">
      <c r="A15" s="195" t="inlineStr">
        <is>
          <t xml:space="preserve">   ████</t>
        </is>
      </c>
      <c r="B15" s="196" t="inlineStr">
        <is>
          <t>Dorado Principal</t>
        </is>
      </c>
      <c r="C15" s="197" t="inlineStr">
        <is>
          <t>#C9A84C</t>
        </is>
      </c>
      <c r="D15" s="197" t="inlineStr">
        <is>
          <t>Lazos, centros de mesa, detalles</t>
        </is>
      </c>
    </row>
    <row r="16" ht="21.75" customHeight="1" s="107">
      <c r="A16" s="198" t="inlineStr">
        <is>
          <t xml:space="preserve">   ████</t>
        </is>
      </c>
      <c r="B16" s="199" t="inlineStr">
        <is>
          <t>Blanco Marfil</t>
        </is>
      </c>
      <c r="C16" s="200" t="inlineStr">
        <is>
          <t>#FAF7F2</t>
        </is>
      </c>
      <c r="D16" s="200" t="inlineStr">
        <is>
          <t>Mantelería, vestido, altar</t>
        </is>
      </c>
    </row>
    <row r="17" ht="21.75" customHeight="1" s="107">
      <c r="A17" s="201" t="inlineStr">
        <is>
          <t xml:space="preserve">   ████</t>
        </is>
      </c>
      <c r="B17" s="196" t="inlineStr">
        <is>
          <t>Verde Salvia</t>
        </is>
      </c>
      <c r="C17" s="197" t="inlineStr">
        <is>
          <t>#7A9E7E</t>
        </is>
      </c>
      <c r="D17" s="197" t="inlineStr">
        <is>
          <t>Flores, hojas decorativas</t>
        </is>
      </c>
    </row>
    <row r="18" ht="21.75" customHeight="1" s="107">
      <c r="A18" s="202" t="inlineStr">
        <is>
          <t xml:space="preserve">   ████</t>
        </is>
      </c>
      <c r="B18" s="199" t="inlineStr">
        <is>
          <t>Negro Carbón</t>
        </is>
      </c>
      <c r="C18" s="200" t="inlineStr">
        <is>
          <t>#1A1A1A</t>
        </is>
      </c>
      <c r="D18" s="200" t="inlineStr">
        <is>
          <t>Tipografía, marcos, detalles</t>
        </is>
      </c>
    </row>
    <row r="19" ht="21.75" customHeight="1" s="107">
      <c r="A19" s="203" t="inlineStr">
        <is>
          <t xml:space="preserve">   ████</t>
        </is>
      </c>
      <c r="B19" s="196" t="inlineStr">
        <is>
          <t>Champagne</t>
        </is>
      </c>
      <c r="C19" s="197" t="inlineStr">
        <is>
          <t>#F5E6C0</t>
        </is>
      </c>
      <c r="D19" s="197" t="inlineStr">
        <is>
          <t>Ribbon, fondos, iluminación</t>
        </is>
      </c>
    </row>
    <row r="21" ht="24" customHeight="1" s="107">
      <c r="A21" s="148" t="inlineStr">
        <is>
          <t>🔗 REFERENCIAS &amp; INSPIRACIÓN</t>
        </is>
      </c>
      <c r="B21" s="114" t="n"/>
      <c r="C21" s="114" t="n"/>
      <c r="D21" s="114" t="n"/>
    </row>
    <row r="22" ht="15" customHeight="1" s="107">
      <c r="A22" s="152" t="inlineStr">
        <is>
          <t>Tipo</t>
        </is>
      </c>
      <c r="B22" s="152" t="inlineStr">
        <is>
          <t>Link / Usuario</t>
        </is>
      </c>
      <c r="C22" s="152" t="inlineStr">
        <is>
          <t>Notas</t>
        </is>
      </c>
    </row>
    <row r="23" ht="18" customHeight="1" s="107">
      <c r="A23" s="197" t="inlineStr">
        <is>
          <t>Tablero Pinterest</t>
        </is>
      </c>
      <c r="B23" s="204" t="inlineStr">
        <is>
          <t>https://pinterest.com/mi-evento</t>
        </is>
      </c>
      <c r="C23" s="197" t="inlineStr">
        <is>
          <t>Link al tablero de inspiración</t>
        </is>
      </c>
    </row>
    <row r="24" ht="18" customHeight="1" s="107">
      <c r="A24" s="200" t="inlineStr">
        <is>
          <t>Instagram referencia</t>
        </is>
      </c>
      <c r="B24" s="205" t="inlineStr">
        <is>
          <t>@primaveraeventsgroup</t>
        </is>
      </c>
      <c r="C24" s="200" t="inlineStr">
        <is>
          <t>Cuenta de referencia visual</t>
        </is>
      </c>
    </row>
    <row r="25" ht="18" customHeight="1" s="107">
      <c r="A25" s="197" t="inlineStr">
        <is>
          <t>Locación referencia</t>
        </is>
      </c>
      <c r="B25" s="204" t="inlineStr">
        <is>
          <t>https://primaveraeventsgroup.com</t>
        </is>
      </c>
      <c r="C25" s="197" t="inlineStr">
        <is>
          <t>Sitio web del salón</t>
        </is>
      </c>
    </row>
    <row r="26" ht="18" customHeight="1" s="107">
      <c r="A26" s="200" t="inlineStr">
        <is>
          <t>Proveedor flores</t>
        </is>
      </c>
      <c r="B26" s="205" t="inlineStr">
        <is>
          <t>https://www.instagram.com/floralstudio</t>
        </is>
      </c>
      <c r="C26" s="200" t="inlineStr">
        <is>
          <t>Florería de referencia</t>
        </is>
      </c>
    </row>
    <row r="27" ht="18" customHeight="1" s="107">
      <c r="A27" s="197" t="inlineStr">
        <is>
          <t>Fotógrafo</t>
        </is>
      </c>
      <c r="B27" s="204" t="inlineStr">
        <is>
          <t>https://www.luismendozaphoto.com</t>
        </is>
      </c>
      <c r="C27" s="197" t="inlineStr">
        <is>
          <t>Portfolio fotógrafo</t>
        </is>
      </c>
    </row>
  </sheetData>
  <mergeCells count="24">
    <mergeCell ref="B11:D11"/>
    <mergeCell ref="B8:D8"/>
    <mergeCell ref="G4:J4"/>
    <mergeCell ref="A13:D13"/>
    <mergeCell ref="B10:D10"/>
    <mergeCell ref="F3:J3"/>
    <mergeCell ref="G9:J9"/>
    <mergeCell ref="G12:J12"/>
    <mergeCell ref="B9:D9"/>
    <mergeCell ref="G11:J11"/>
    <mergeCell ref="B6:D6"/>
    <mergeCell ref="A1:J1"/>
    <mergeCell ref="B5:D5"/>
    <mergeCell ref="G8:J8"/>
    <mergeCell ref="B4:D4"/>
    <mergeCell ref="G7:J7"/>
    <mergeCell ref="B7:D7"/>
    <mergeCell ref="G10:J10"/>
    <mergeCell ref="G6:J6"/>
    <mergeCell ref="G13:J13"/>
    <mergeCell ref="A3:D3"/>
    <mergeCell ref="A21:D21"/>
    <mergeCell ref="A2:J2"/>
    <mergeCell ref="G5:J5"/>
  </mergeCells>
  <dataValidations count="2">
    <dataValidation sqref="B4" showDropDown="0" showInputMessage="0" showErrorMessage="0" allowBlank="1" type="list" errorStyle="stop" operator="between">
      <formula1>"Boda,XV Años,Aniversario,Corporativo,Cumpleaños,Graduación,Baby Shower"</formula1>
      <formula2>0</formula2>
    </dataValidation>
    <dataValidation sqref="B5" showDropDown="0" showInputMessage="0" showErrorMessage="0" allowBlank="1" type="list" errorStyle="stop" operator="between">
      <formula1>"Elegante,Boho Chic,Jardín,Rústico,Moderno,Mexicano Tradicional,Minimalista,Art Deco"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E53935"/>
    <outlinePr summaryBelow="1" summaryRight="1"/>
    <pageSetUpPr fitToPage="0"/>
  </sheetPr>
  <dimension ref="A1:J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06" min="1" max="1"/>
    <col width="32" customWidth="1" style="106" min="2" max="2"/>
    <col width="16" customWidth="1" style="106" min="3" max="3"/>
    <col width="14" customWidth="1" style="106" min="4" max="4"/>
    <col width="16" customWidth="1" style="106" min="5" max="5"/>
    <col width="22" customWidth="1" style="106" min="6" max="6"/>
  </cols>
  <sheetData>
    <row r="1" ht="30" customHeight="1" s="107">
      <c r="A1" s="206" t="inlineStr">
        <is>
          <t>💡 COTIZADOR AUTOMÁTICO</t>
        </is>
      </c>
    </row>
    <row r="2" ht="18" customHeight="1" s="107">
      <c r="A2" s="139" t="inlineStr">
        <is>
          <t>Resumen de servicios seleccionados — genera tu cotización profesional</t>
        </is>
      </c>
    </row>
    <row r="3" ht="15" customHeight="1" s="107">
      <c r="A3" s="207" t="inlineStr">
        <is>
          <t>⚡ Este cotizador toma automáticamente los servicios marcados como "✓" en el Catálogo</t>
        </is>
      </c>
      <c r="B3" s="114" t="n"/>
      <c r="C3" s="114" t="n"/>
      <c r="D3" s="114" t="n"/>
      <c r="E3" s="114" t="n"/>
      <c r="F3" s="114" t="n"/>
    </row>
    <row r="4" ht="15" customHeight="1" s="107">
      <c r="A4" s="140" t="inlineStr">
        <is>
          <t>Categoría</t>
        </is>
      </c>
      <c r="B4" s="140" t="inlineStr">
        <is>
          <t>Servicio</t>
        </is>
      </c>
      <c r="C4" s="140" t="inlineStr">
        <is>
          <t>Costo Estimado</t>
        </is>
      </c>
      <c r="D4" s="140" t="inlineStr">
        <is>
          <t>IVA (16%)</t>
        </is>
      </c>
      <c r="E4" s="140" t="inlineStr">
        <is>
          <t>Total c/IVA</t>
        </is>
      </c>
      <c r="F4" s="140" t="inlineStr">
        <is>
          <t>Notas</t>
        </is>
      </c>
    </row>
    <row r="5" ht="15" customHeight="1" s="107">
      <c r="A5" s="208" t="inlineStr">
        <is>
          <t>Los servicios seleccionados en el Catálogo aparecerán aquí. Usa la hoja 📦 Catálogo y marca ✓ en columna G.</t>
        </is>
      </c>
    </row>
    <row r="7" ht="24" customHeight="1" s="107">
      <c r="A7" s="209" t="inlineStr">
        <is>
          <t>RESUMEN FINANCIERO</t>
        </is>
      </c>
      <c r="C7" s="106" t="n"/>
    </row>
    <row r="8" ht="21.75" customHeight="1" s="107">
      <c r="A8" s="129" t="inlineStr">
        <is>
          <t>Total servicios seleccionados</t>
        </is>
      </c>
      <c r="C8" s="210">
        <f>'📦 Catálogo'!E117</f>
        <v/>
      </c>
      <c r="D8" s="114" t="n"/>
      <c r="E8" s="114" t="n"/>
      <c r="F8" s="132" t="n"/>
    </row>
    <row r="9" ht="21.75" customHeight="1" s="107">
      <c r="A9" s="133" t="inlineStr">
        <is>
          <t>IVA (16%)</t>
        </is>
      </c>
      <c r="C9" s="211">
        <f>C8*0.16</f>
        <v/>
      </c>
      <c r="D9" s="114" t="n"/>
      <c r="E9" s="114" t="n"/>
      <c r="F9" s="132" t="n"/>
    </row>
    <row r="10" ht="21.75" customHeight="1" s="107">
      <c r="A10" s="212" t="inlineStr">
        <is>
          <t>TOTAL CON IVA</t>
        </is>
      </c>
      <c r="C10" s="213">
        <f>C8+C9</f>
        <v/>
      </c>
      <c r="D10" s="114" t="n"/>
      <c r="E10" s="114" t="n"/>
      <c r="F10" s="132" t="n"/>
    </row>
    <row r="11" ht="21.75" customHeight="1" s="107">
      <c r="A11" s="133" t="inlineStr">
        <is>
          <t>Presupuesto disponible</t>
        </is>
      </c>
      <c r="C11" s="211">
        <f>'📊 Dashboard'!B10</f>
        <v/>
      </c>
      <c r="D11" s="114" t="n"/>
      <c r="E11" s="114" t="n"/>
      <c r="F11" s="132" t="n"/>
    </row>
    <row r="12" ht="21.75" customHeight="1" s="107">
      <c r="A12" s="212" t="inlineStr">
        <is>
          <t>Diferencia (Disponible - Total)</t>
        </is>
      </c>
      <c r="C12" s="214">
        <f>C11-C10</f>
        <v/>
      </c>
      <c r="D12" s="114" t="n"/>
      <c r="E12" s="114" t="n"/>
      <c r="F12" s="132" t="n"/>
    </row>
    <row r="14" ht="27.75" customHeight="1" s="107">
      <c r="A14" s="194" t="inlineStr">
        <is>
          <t>📞 ¿Listo para hacer realidad tu evento? Contáctanos: 📱 WhatsApp: +52 777-123-4567 | 🌐 primaveraeventsgroup.com | 📧 hola@primaveraeventsgroup.com</t>
        </is>
      </c>
      <c r="B14" s="114" t="n"/>
      <c r="C14" s="114" t="n"/>
      <c r="D14" s="114" t="n"/>
      <c r="E14" s="114" t="n"/>
      <c r="F14" s="114" t="n"/>
    </row>
  </sheetData>
  <mergeCells count="12">
    <mergeCell ref="C9:F9"/>
    <mergeCell ref="A1:J1"/>
    <mergeCell ref="A7:B7"/>
    <mergeCell ref="C8:F8"/>
    <mergeCell ref="A14:F14"/>
    <mergeCell ref="A5:F5"/>
    <mergeCell ref="C12:F12"/>
    <mergeCell ref="C7:F7"/>
    <mergeCell ref="C11:F11"/>
    <mergeCell ref="A2:J2"/>
    <mergeCell ref="A3:F3"/>
    <mergeCell ref="C10:F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2026-04-12T01:15:29Z</dcterms:created>
  <dcterms:modified xsi:type="dcterms:W3CDTF">2026-06-27T21:55:26Z</dcterms:modified>
  <cp:revision>0</cp:revision>
</cp:coreProperties>
</file>